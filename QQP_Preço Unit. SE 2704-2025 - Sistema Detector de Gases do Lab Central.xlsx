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lobalvale-my.sharepoint.com/personal/romulo_faria_vale_com/Documents/Desktop/"/>
    </mc:Choice>
  </mc:AlternateContent>
  <xr:revisionPtr revIDLastSave="0" documentId="14_{47FE0B62-7478-45F5-8C03-2D1A21B5DBBC}" xr6:coauthVersionLast="47" xr6:coauthVersionMax="47" xr10:uidLastSave="{00000000-0000-0000-0000-000000000000}"/>
  <bookViews>
    <workbookView xWindow="-120" yWindow="-120" windowWidth="20730" windowHeight="11040" xr2:uid="{6E99907A-36BB-40FA-ABDC-E4156AE2D80A}"/>
  </bookViews>
  <sheets>
    <sheet name="QQP_CENÁRIO 1" sheetId="1" r:id="rId1"/>
  </sheets>
  <externalReferences>
    <externalReference r:id="rId2"/>
    <externalReference r:id="rId3"/>
    <externalReference r:id="rId4"/>
  </externalReferences>
  <definedNames>
    <definedName name="_" hidden="1">#REF!</definedName>
    <definedName name="___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PPU1" hidden="1">{#N/A,#N/A,FALSE,"Cronograma";#N/A,#N/A,FALSE,"Cronogr. 2"}</definedName>
    <definedName name="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PPU1" hidden="1">{#N/A,#N/A,FALSE,"Cronograma";#N/A,#N/A,FALSE,"Cronogr. 2"}</definedName>
    <definedName name="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PPU1" hidden="1">{#N/A,#N/A,FALSE,"Cronograma";#N/A,#N/A,FALSE,"Cronogr. 2"}</definedName>
    <definedName name="___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" hidden="1">{#N/A,#N/A,TRUE,"INGENIERIA";#N/A,#N/A,TRUE,"COMPRAS";#N/A,#N/A,TRUE,"DIRECCION";#N/A,#N/A,TRUE,"RESUMEN"}</definedName>
    <definedName name="___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PPU1" hidden="1">{#N/A,#N/A,FALSE,"Cronograma";#N/A,#N/A,FALSE,"Cronogr. 2"}</definedName>
    <definedName name="___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f" hidden="1">{#N/A,#N/A,TRUE,"INGENIERIA";#N/A,#N/A,TRUE,"COMPRAS";#N/A,#N/A,TRUE,"DIRECCION";#N/A,#N/A,TRUE,"RESUMEN"}</definedName>
    <definedName name="________PPU1" hidden="1">{#N/A,#N/A,FALSE,"Cronograma";#N/A,#N/A,FALSE,"Cronogr. 2"}</definedName>
    <definedName name="_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" hidden="1">{#N/A,#N/A,TRUE,"INGENIERIA";#N/A,#N/A,TRUE,"COMPRAS";#N/A,#N/A,TRUE,"DIRECCION";#N/A,#N/A,TRUE,"RESUMEN"}</definedName>
    <definedName name="_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n2" hidden="1">{#N/A,#N/A,FALSE,"PCOL"}</definedName>
    <definedName name="_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PPU1" hidden="1">{#N/A,#N/A,FALSE,"Cronograma";#N/A,#N/A,FALSE,"Cronogr. 2"}</definedName>
    <definedName name="_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" hidden="1">{#N/A,#N/A,FALSE,"PCOL"}</definedName>
    <definedName name="_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" hidden="1">{#N/A,#N/A,TRUE,"INGENIERIA";#N/A,#N/A,TRUE,"COMPRAS";#N/A,#N/A,TRUE,"DIRECCION";#N/A,#N/A,TRUE,"RESUMEN"}</definedName>
    <definedName name="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2" hidden="1">{#N/A,#N/A,FALSE,"PCOL"}</definedName>
    <definedName name="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PPU1" hidden="1">{#N/A,#N/A,FALSE,"Cronograma";#N/A,#N/A,FALSE,"Cronogr. 2"}</definedName>
    <definedName name="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" hidden="1">{#N/A,#N/A,FALSE,"PCOL"}</definedName>
    <definedName name="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" hidden="1">{#N/A,#N/A,TRUE,"INGENIERIA";#N/A,#N/A,TRUE,"COMPRAS";#N/A,#N/A,TRUE,"DIRECCION";#N/A,#N/A,TRUE,"RESUMEN"}</definedName>
    <definedName name="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n2" hidden="1">{#N/A,#N/A,FALSE,"PCOL"}</definedName>
    <definedName name="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PPU1" hidden="1">{#N/A,#N/A,FALSE,"Cronograma";#N/A,#N/A,FALSE,"Cronogr. 2"}</definedName>
    <definedName name="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" hidden="1">{#N/A,#N/A,FALSE,"PCOL"}</definedName>
    <definedName name="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" hidden="1">{#N/A,#N/A,TRUE,"INGENIERIA";#N/A,#N/A,TRUE,"COMPRAS";#N/A,#N/A,TRUE,"DIRECCION";#N/A,#N/A,TRUE,"RESUMEN"}</definedName>
    <definedName name="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n2" hidden="1">{#N/A,#N/A,FALSE,"PCOL"}</definedName>
    <definedName name="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PPU1" hidden="1">{#N/A,#N/A,FALSE,"Cronograma";#N/A,#N/A,FALSE,"Cronogr. 2"}</definedName>
    <definedName name="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" hidden="1">{#N/A,#N/A,FALSE,"PCOL"}</definedName>
    <definedName name="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" hidden="1">{#N/A,#N/A,TRUE,"INGENIERIA";#N/A,#N/A,TRUE,"COMPRAS";#N/A,#N/A,TRUE,"DIRECCION";#N/A,#N/A,TRUE,"RESUMEN"}</definedName>
    <definedName name="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l4" hidden="1">{#N/A,#N/A,FALSE,"ET-CAPA";#N/A,#N/A,FALSE,"ET-PAG1";#N/A,#N/A,FALSE,"ET-PAG2";#N/A,#N/A,FALSE,"ET-PAG3";#N/A,#N/A,FALSE,"ET-PAG4";#N/A,#N/A,FALSE,"ET-PAG5"}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n2" hidden="1">{#N/A,#N/A,FALSE,"PCOL"}</definedName>
    <definedName name="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PPU1" hidden="1">{#N/A,#N/A,FALSE,"Cronograma";#N/A,#N/A,FALSE,"Cronogr. 2"}</definedName>
    <definedName name="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" hidden="1">{#N/A,#N/A,FALSE,"PCOL"}</definedName>
    <definedName name="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lfn.BAHTTEXT" hidden="1">#NAME?</definedName>
    <definedName name="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1__123Graph_ACHART_1" hidden="1">#REF!</definedName>
    <definedName name="__123Graph_A" hidden="1">#REF!</definedName>
    <definedName name="__123Graph_ACORNU" hidden="1">#REF!</definedName>
    <definedName name="__123Graph_AGRAF" hidden="1">#REF!</definedName>
    <definedName name="__123Graph_AGRAFRELC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GRAF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ORNU" hidden="1">#REF!</definedName>
    <definedName name="__123Graph_XCURRENT" hidden="1">#REF!</definedName>
    <definedName name="__124graph_DGRAF" hidden="1">#REF!</definedName>
    <definedName name="__2__123Graph_BCHART_1" hidden="1">#REF!</definedName>
    <definedName name="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" hidden="1">{#N/A,#N/A,TRUE,"INGENIERIA";#N/A,#N/A,TRUE,"COMPRAS";#N/A,#N/A,TRUE,"DIRECCION";#N/A,#N/A,TRUE,"RESUMEN"}</definedName>
    <definedName name="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l4" hidden="1">{#N/A,#N/A,FALSE,"ET-CAPA";#N/A,#N/A,FALSE,"ET-PAG1";#N/A,#N/A,FALSE,"ET-PAG2";#N/A,#N/A,FALSE,"ET-PAG3";#N/A,#N/A,FALSE,"ET-PAG4";#N/A,#N/A,FALSE,"ET-PAG5"}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n2" hidden="1">{#N/A,#N/A,FALSE,"PCOL"}</definedName>
    <definedName name="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PPU1" hidden="1">{#N/A,#N/A,FALSE,"Cronograma";#N/A,#N/A,FALSE,"Cronogr. 2"}</definedName>
    <definedName name="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" hidden="1">{#N/A,#N/A,FALSE,"PCOL"}</definedName>
    <definedName name="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lfn.BAHTTEXT" hidden="1">#NAME?</definedName>
    <definedName name="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1__123Graph_ACHART_1" hidden="1">#REF!</definedName>
    <definedName name="_1__123Graph_ACHART_2" hidden="1">#REF!</definedName>
    <definedName name="_10__123Graph_DCHART_1" hidden="1">#REF!</definedName>
    <definedName name="_10__123Graph_FCHART_1" hidden="1">#REF!</definedName>
    <definedName name="_105__123Graph_XCHART_3" hidden="1">#REF!</definedName>
    <definedName name="_11___123Graph_ECHART_1" hidden="1">#REF!</definedName>
    <definedName name="_11__123Graph_ACHART_3" hidden="1">#REF!</definedName>
    <definedName name="_11__123Graph_ECHART_1" hidden="1">#REF!</definedName>
    <definedName name="_11__123Graph_LBL_DCHART_3" hidden="1">#REF!</definedName>
    <definedName name="_12__123Graph_ACHART_3" hidden="1">#REF!</definedName>
    <definedName name="_12__123Graph_ECHART_1" hidden="1">#REF!</definedName>
    <definedName name="_12__123Graph_XCHART_1" hidden="1">#REF!</definedName>
    <definedName name="_123Gr" hidden="1">#REF!</definedName>
    <definedName name="_13___123Graph_FCHART_1" hidden="1">#REF!</definedName>
    <definedName name="_13__123Graph_FCHART_1" hidden="1">#REF!</definedName>
    <definedName name="_14__123Graph_ACHART_1" hidden="1">#REF!</definedName>
    <definedName name="_14__123Graph_FCHART_1" hidden="1">#REF!</definedName>
    <definedName name="_15___123Graph_XCHART_3" hidden="1">#REF!</definedName>
    <definedName name="_15__123Graph_BCHART_1" hidden="1">#REF!</definedName>
    <definedName name="_15__123Graph_XCHART_3" hidden="1">#REF!</definedName>
    <definedName name="_16__123Graph_XCHART_3" hidden="1">#REF!</definedName>
    <definedName name="_17__123Graph_ACHART_1" hidden="1">#REF!</definedName>
    <definedName name="_18__123Graph_ACHART_3" hidden="1">#REF!</definedName>
    <definedName name="_18__123Graph_BCHART_1" hidden="1">#REF!</definedName>
    <definedName name="_2___123Graph_ACHART_1" hidden="1">#REF!</definedName>
    <definedName name="_2__123Graph_ACHART_1" hidden="1">#REF!</definedName>
    <definedName name="_2__123Graph_ACHART_3" hidden="1">#REF!</definedName>
    <definedName name="_2__123Graph_BCHART_1" hidden="1">#REF!</definedName>
    <definedName name="_20__123Graph_BCHART_1" hidden="1">#REF!</definedName>
    <definedName name="_21__123Graph_ACHART_3" hidden="1">#REF!</definedName>
    <definedName name="_22__123Graph_CCHART_1" hidden="1">#REF!</definedName>
    <definedName name="_24__123Graph_CCHART_1" hidden="1">#REF!</definedName>
    <definedName name="_24__123Graph_DCHART_1" hidden="1">#REF!</definedName>
    <definedName name="_25__123Graph_CCHART_1" hidden="1">#REF!</definedName>
    <definedName name="_26__123Graph_ECHART_1" hidden="1">#REF!</definedName>
    <definedName name="_28__123Graph_FCHART_1" hidden="1">#REF!</definedName>
    <definedName name="_29__123Graph_DCHART_1" hidden="1">#REF!</definedName>
    <definedName name="_3___123Graph_ACHART_3" hidden="1">#REF!</definedName>
    <definedName name="_3__123Graph_ACHART_3" hidden="1">#REF!</definedName>
    <definedName name="_3__123Graph_BCHART_1" hidden="1">#REF!</definedName>
    <definedName name="_3__123Graph_BCHART_2" hidden="1">#REF!</definedName>
    <definedName name="_3__123Graph_BCHART_3" hidden="1">#REF!</definedName>
    <definedName name="_3__123Graph_CCHART_1" hidden="1">#REF!</definedName>
    <definedName name="_3__123Graph_XCHART_1" hidden="1">#REF!</definedName>
    <definedName name="_30__123Graph_DCHART_1" hidden="1">#REF!</definedName>
    <definedName name="_30__123Graph_XCHART_3" hidden="1">#REF!</definedName>
    <definedName name="_32__123Graph_DCHART_1" hidden="1">#REF!</definedName>
    <definedName name="_35__123Graph_BCHART_1" hidden="1">#REF!</definedName>
    <definedName name="_36__123Graph_ECHART_1" hidden="1">#REF!</definedName>
    <definedName name="_39__123Graph_ECHART_1" hidden="1">#REF!</definedName>
    <definedName name="_4__123Graph_ACHART_3" hidden="1">#REF!</definedName>
    <definedName name="_4__123Graph_BCHART_4" hidden="1">#REF!</definedName>
    <definedName name="_4__123Graph_CCHART_1" hidden="1">#REF!</definedName>
    <definedName name="_4__123Graph_DCHART_1" hidden="1">#REF!</definedName>
    <definedName name="_4__123Graph_FCURRENT" hidden="1">#REF!</definedName>
    <definedName name="_42__123Graph_FCHART_1" hidden="1">#REF!</definedName>
    <definedName name="_43__123Graph_FCHART_1" hidden="1">#REF!</definedName>
    <definedName name="_46__123Graph_FCHART_1" hidden="1">#REF!</definedName>
    <definedName name="_48__123Graph_XCHART_3" hidden="1">#REF!</definedName>
    <definedName name="_49__123Graph_CCHART_1" hidden="1">#REF!</definedName>
    <definedName name="_5___123Graph_BCHART_1" hidden="1">#REF!</definedName>
    <definedName name="_5__123Graph_BCHART_1" hidden="1">#REF!</definedName>
    <definedName name="_5__123Graph_CCHART_1" hidden="1">#REF!</definedName>
    <definedName name="_5__123Graph_DCHART_1" hidden="1">#REF!</definedName>
    <definedName name="_5__123Graph_ECHART_1" hidden="1">#REF!</definedName>
    <definedName name="_50__123Graph_XCHART_3" hidden="1">#REF!</definedName>
    <definedName name="_53__123Graph_XCHART_3" hidden="1">#REF!</definedName>
    <definedName name="_6__123Graph_ACHART_1" hidden="1">#REF!</definedName>
    <definedName name="_6__123Graph_BCHART_1" hidden="1">#REF!</definedName>
    <definedName name="_6__123Graph_CCHART_3" hidden="1">#REF!</definedName>
    <definedName name="_6__123Graph_ECHART_1" hidden="1">#REF!</definedName>
    <definedName name="_6__123Graph_FCHART_1" hidden="1">#REF!</definedName>
    <definedName name="_63__123Graph_DCHART_1" hidden="1">#REF!</definedName>
    <definedName name="_7___123Graph_CCHART_1" hidden="1">#REF!</definedName>
    <definedName name="_7__123Graph_ACHART_1" hidden="1">#REF!</definedName>
    <definedName name="_7__123Graph_CCHART_1" hidden="1">#REF!</definedName>
    <definedName name="_7__123Graph_DCHART_1" hidden="1">#REF!</definedName>
    <definedName name="_7__123Graph_FCHART_1" hidden="1">#REF!</definedName>
    <definedName name="_7__123Graph_XCHART_1" hidden="1">#REF!</definedName>
    <definedName name="_77__123Graph_ECHART_1" hidden="1">#REF!</definedName>
    <definedName name="_8__123Graph_ACHART_3" hidden="1">#REF!</definedName>
    <definedName name="_8__123Graph_CCHART_1" hidden="1">#REF!</definedName>
    <definedName name="_8__123Graph_DCHART_3" hidden="1">#REF!</definedName>
    <definedName name="_8__123Graph_XCHART_3" hidden="1">#REF!</definedName>
    <definedName name="_9___123Graph_DCHART_1" hidden="1">#REF!</definedName>
    <definedName name="_9__123Graph_DCHART_1" hidden="1">#REF!</definedName>
    <definedName name="_9__123Graph_ECHART_1" hidden="1">#REF!</definedName>
    <definedName name="_91__123Graph_FCHART_1" hidden="1">#REF!</definedName>
    <definedName name="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se_datos_a_filtrar" hidden="1">#REF!</definedName>
    <definedName name="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EF2" hidden="1">{#N/A,#N/A,FALSE,"DEF1";#N/A,#N/A,FALSE,"DEF2";#N/A,#N/A,FALSE,"DEF3"}</definedName>
    <definedName name="_DEF3" hidden="1">{#N/A,#N/A,FALSE,"DEF1";#N/A,#N/A,FALSE,"DEF2";#N/A,#N/A,FALSE,"DEF3"}</definedName>
    <definedName name="_DISSÍDIO_15" hidden="1">#REF!</definedName>
    <definedName name="_DISSÍDIO_16" hidden="1">#REF!</definedName>
    <definedName name="_Dist_Values" hidden="1">#REF!</definedName>
    <definedName name="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" hidden="1">{#N/A,#N/A,TRUE,"INGENIERIA";#N/A,#N/A,TRUE,"COMPRAS";#N/A,#N/A,TRUE,"DIRECCION";#N/A,#N/A,TRUE,"RESUMEN"}</definedName>
    <definedName name="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l4" hidden="1">{#N/A,#N/A,FALSE,"ET-CAPA";#N/A,#N/A,FALSE,"ET-PAG1";#N/A,#N/A,FALSE,"ET-PAG2";#N/A,#N/A,FALSE,"ET-PAG3";#N/A,#N/A,FALSE,"ET-PAG4";#N/A,#N/A,FALSE,"ET-PAG5"}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1." hidden="1">#REF!</definedName>
    <definedName name="_Key2" hidden="1">#REF!</definedName>
    <definedName name="_key3" hidden="1">#REF!</definedName>
    <definedName name="_MatInverse_In" hidden="1">#REF!</definedName>
    <definedName name="_MatInverse_Out" hidden="1">#REF!</definedName>
    <definedName name="_MatMult_B" hidden="1">#REF!</definedName>
    <definedName name="_MOA1" hidden="1">{#N/A,#N/A,FALSE,"DEF1";#N/A,#N/A,FALSE,"DEF2";#N/A,#N/A,FALSE,"DEF3"}</definedName>
    <definedName name="_MOA2" hidden="1">{#N/A,#N/A,FALSE,"DEF1";#N/A,#N/A,FALSE,"DEF2";#N/A,#N/A,FALSE,"DEF3"}</definedName>
    <definedName name="_n2" hidden="1">{#N/A,#N/A,FALSE,"PCOL"}</definedName>
    <definedName name="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N10" hidden="1">{"'gráf jan00'!$A$1:$AK$41"}</definedName>
    <definedName name="_PPU1" hidden="1">{#N/A,#N/A,FALSE,"Cronograma";#N/A,#N/A,FALSE,"Cronogr. 2"}</definedName>
    <definedName name="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" hidden="1">{#N/A,#N/A,FALSE,"PCOL"}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" hidden="1">#REF!</definedName>
    <definedName name="aaas" hidden="1">{"'gráf jan00'!$A$1:$AK$41"}</definedName>
    <definedName name="aasaasas" hidden="1">{#N/A,#N/A,TRUE,"indice";#N/A,#N/A,TRUE,"indicadores";#N/A,#N/A,TRUE,"comentarios"}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" hidden="1">{"'gráf jan00'!$A$1:$AK$41"}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hidden="1">{#N/A,#N/A,FALSE,"PCOL"}</definedName>
    <definedName name="ABC.XLS" hidden="1">{"'Quadro'!$A$4:$BG$78"}</definedName>
    <definedName name="abcd" hidden="1">{#N/A,#N/A,FALSE,"PCOL"}</definedName>
    <definedName name="abobora.xls" hidden="1">{"'Quadro'!$A$4:$BG$78"}</definedName>
    <definedName name="acavaccvc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cessDatabase" hidden="1">"C:\홍성일\주간공정\96-10142.mdb"</definedName>
    <definedName name="açdk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cesso">#REF!,#REF!</definedName>
    <definedName name="acesso_4">#REF!,#REF!,#REF!</definedName>
    <definedName name="açl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AS" hidden="1">#REF!</definedName>
    <definedName name="adasdad" hidden="1">{"'gráf jan00'!$A$1:$AK$41"}</definedName>
    <definedName name="ADED" hidden="1">{"'gráf jan00'!$A$1:$AK$41"}</definedName>
    <definedName name="ademir" hidden="1">{#N/A,#N/A,FALSE,"Cronograma";#N/A,#N/A,FALSE,"Cronogr. 2"}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r">"D:\Enejota\OAS\Baba\Orçamento"</definedName>
    <definedName name="aditivo" hidden="1">{#N/A,#N/A,FALSE,"PCOL"}</definedName>
    <definedName name="adsf" hidden="1">{"'gráf jan00'!$A$1:$AK$41"}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st5" hidden="1">{"'gráf jan00'!$A$1:$AK$41"}</definedName>
    <definedName name="Agosto" hidden="1">{#N/A,#N/A,FALSE,"SITUAÇÃO DIÁRIA ";#N/A,#N/A,FALSE,"7 à 7"}</definedName>
    <definedName name="agrq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ina" hidden="1">{#N/A,#N/A,FALSE,"PCOL"}</definedName>
    <definedName name="Ajust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kfkd" hidden="1">{#N/A,#N/A,TRUE,"1842CWN0"}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" hidden="1">{#N/A,#N/A,FALSE,"PCOL"}</definedName>
    <definedName name="anscount" hidden="1">1</definedName>
    <definedName name="ao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olonio" hidden="1">#REF!</definedName>
    <definedName name="apr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quis_Mercadoria_Importada">AND([0]!ORIGEM="I",[0]!Cod_Ativ_N1="F")</definedName>
    <definedName name="Aquis_Mercadoria_Nacional">AND([0]!ORIGEM="N",[0]!Cod_Ativ_N1="F")</definedName>
    <definedName name="Aquis_Serv_Importado">AND([0]!ORIGEM="I",OR([0]!Cod_Ativ_N1="C",[0]!Cod_Ativ_N1="D",[0]!Cod_Ativ_N1="L",[0]!Cod_Ativ_N1="M",[0]!Cod_Ativ_N1="E",[0]!Cod_Ativ_N1="T"))</definedName>
    <definedName name="Aquis_Serv_Nacional">AND([0]!ORIGEM="N",OR([0]!Cod_Ativ_N1="C",[0]!Cod_Ativ_N1="D",[0]!Cod_Ativ_N1="L",[0]!Cod_Ativ_N1="M",[0]!Cod_Ativ_N1="E",[0]!Cod_Ativ_N1="T" ))</definedName>
    <definedName name="AR" hidden="1">{"'Quadro'!$A$4:$BG$78"}</definedName>
    <definedName name="Arara" hidden="1">{#N/A,#N/A,FALSE,"PCOL"}</definedName>
    <definedName name="area">IF(#REF!="",#REF!*#REF!,#REF!)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hidden="1">{"'IndicadoresRH'!$AA$50:$AP$67"}</definedName>
    <definedName name="AS2DocOpenMode" hidden="1">"AS2DocumentEdit"</definedName>
    <definedName name="AS2NamedRange" hidden="1">18</definedName>
    <definedName name="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as" hidden="1">{#N/A,#N/A,TRUE,"indice";#N/A,#N/A,TRUE,"indicadores";#N/A,#N/A,TRUE,"comentarios"}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c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ad" hidden="1">{"'gráf jan00'!$A$1:$AK$41"}</definedName>
    <definedName name="asdadadad" hidden="1">{"'gráf jan00'!$A$1:$AK$41"}</definedName>
    <definedName name="asdasdasdas" hidden="1">{"'gráf jan00'!$A$1:$AK$41"}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we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r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gw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WEFGQ3" hidden="1">{"'gráf jan00'!$A$1:$AK$41"}</definedName>
    <definedName name="AT" hidden="1">{"'Quadro'!$A$4:$BG$78"}</definedName>
    <definedName name="atgqrwr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uhau" hidden="1">#REF!</definedName>
    <definedName name="AW" hidden="1">{"'Quadro'!$A$4:$BG$78"}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ZAZAZ" hidden="1">{"Sin detalle",#N/A,FALSE,"Flujo (redondeado)"}</definedName>
    <definedName name="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hidden="1">{#N/A,#N/A,TRUE,"1842CWN0"}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d" hidden="1">{"'IndicadoresRH'!$AA$50:$AP$67"}</definedName>
    <definedName name="BDI">'[1]BDI-TRIBUTOS Ele-Mec'!$I$5</definedName>
    <definedName name="BDIC">'[1]BDI-TRIBUTOS Civil'!$I$5</definedName>
    <definedName name="bdii">'[1]BDI-TRIBUTOS Ele-Mec'!$I$4</definedName>
    <definedName name="bdiic">'[1]BDI-TRIBUTOS Civil'!$I$4</definedName>
    <definedName name="bdiif">'[2]BDI-Fatur.Gestão-Mont.'!$I$4</definedName>
    <definedName name="b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bosta" hidden="1">{#N/A,#N/A,FALSE,"Cronograma";#N/A,#N/A,FALSE,"Cronogr. 2"}</definedName>
    <definedName name="bren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iltIn_AutoFilter___1">"$"</definedName>
    <definedName name="BuiltIn_AutoFilter___4">"$"</definedName>
    <definedName name="BuiltIn_AutoFilter___4_1">"$"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wii" hidden="1">{#N/A,#N/A,FALSE,"magsep2";#N/A,#N/A,FALSE,"¾"" X ½""";#N/A,#N/A,FALSE,"½"" X ¼""";#N/A,#N/A,FALSE,"¼"" X 8 Mesh";#N/A,#N/A,FALSE,"8 X 14 Mesh"}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{"'gráf jan00'!$A$1:$AK$41"}</definedName>
    <definedName name="ç\pi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_c" hidden="1">{"'REL CUSTODIF'!$B$1:$H$72"}</definedName>
    <definedName name="CA´L" hidden="1">{#N/A,#N/A,FALSE,"Cronograma";#N/A,#N/A,FALSE,"Cronogr. 2"}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d">'[1]MONTAGEM EletMEc'!$E$115</definedName>
    <definedName name="Calh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bharles" hidden="1">#REF!</definedName>
    <definedName name="CBWorkbookPriority" hidden="1">-568686334</definedName>
    <definedName name="ccc" hidden="1">{#N/A,#N/A,FALSE,"magsep2";#N/A,#N/A,FALSE,"¾"" X ½""";#N/A,#N/A,FALSE,"½"" X ¼""";#N/A,#N/A,FALSE,"¼"" X 8 Mesh";#N/A,#N/A,FALSE,"8 X 14 Mesh"}</definedName>
    <definedName name="çççç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daCto">2</definedName>
    <definedName name="CdaCun">2</definedName>
    <definedName name="CdaQtd">5</definedName>
    <definedName name="CdCto">2</definedName>
    <definedName name="CdCun">2</definedName>
    <definedName name="CdDersa">5</definedName>
    <definedName name="CdEmop">6</definedName>
    <definedName name="Cdir">"D:\Enejota\Petrobras\Orçamento"</definedName>
    <definedName name="CdQtd">5</definedName>
    <definedName name="CdQtEqA">2</definedName>
    <definedName name="CdQtEqP">2</definedName>
    <definedName name="CdQtMoA">2</definedName>
    <definedName name="CdQtMoP">2</definedName>
    <definedName name="CdQtMpA">5</definedName>
    <definedName name="CdQtMpP">5</definedName>
    <definedName name="CdQtTrA">2</definedName>
    <definedName name="CdQtTrP">2</definedName>
    <definedName name="CER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FADA" hidden="1">#REF!</definedName>
    <definedName name="charles" hidden="1">{"'gráf jan00'!$A$1:$AK$41"}</definedName>
    <definedName name="CHECKSSO_OUT" hidden="1">{"'Quadro'!$A$4:$BG$78"}</definedName>
    <definedName name="CICLONE_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ida" hidden="1">{#N/A,#N/A,FALSE,"PCOL"}</definedName>
    <definedName name="ÇL" hidden="1">{"'Quadro'!$A$4:$BG$78"}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FF" hidden="1">{"CMF",#N/A,TRUE,"HW";"CMF",#N/A,TRUE,"SW";"CMF",#N/A,TRUE,"TELESSUP.";"CMF",#N/A,TRUE,"DCN &amp; Acess";"CMF",#N/A,TRUE,"Sobressalentes";"CMF",#N/A,TRUE,"Mat. Instal.";"CMF",#N/A,TRUE,"Doc. Técnica"}</definedName>
    <definedName name="Cobra" hidden="1">{#N/A,#N/A,FALSE,"PCOL"}</definedName>
    <definedName name="Cobre" hidden="1">{"'CptDifn'!$AA$32:$AG$32"}</definedName>
    <definedName name="CODENOME1" hidden="1">#N/A</definedName>
    <definedName name="Concentrado_Cobre" hidden="1">{"'CptDifn'!$AA$32:$AG$32"}</definedName>
    <definedName name="CONCORRENTE" hidden="1">{#N/A,#N/A,FALSE,"Cronograma";#N/A,#N/A,FALSE,"Cronogr. 2"}</definedName>
    <definedName name="concorrentes" hidden="1">{#N/A,#N/A,FALSE,"Cronograma";#N/A,#N/A,FALSE,"Cronogr. 2"}</definedName>
    <definedName name="Copia" hidden="1">{#N/A,#N/A,FALSE,"PCOL"}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r" hidden="1">{"'gráf jan00'!$A$1:$AK$41"}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nImp">0</definedName>
    <definedName name="cvbfgb" hidden="1">{#N/A,#N/A,TRUE,"INGENIERIA";#N/A,#N/A,TRUE,"COMPRAS";#N/A,#N/A,TRUE,"DIRECCION";#N/A,#N/A,TRUE,"RESUMEN"}</definedName>
    <definedName name="CV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xz" hidden="1">{"'gráf jan00'!$A$1:$AK$41"}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fda" hidden="1">#REF!</definedName>
    <definedName name="da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vid" hidden="1">{"'gráf jan00'!$A$1:$AK$41"}</definedName>
    <definedName name="david1" hidden="1">{"'gráf jan00'!$A$1:$AK$41"}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hidden="1">#REF!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EEERE" hidden="1">{"'gráf jan00'!$A$1:$AK$41"}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vom" hidden="1">{#N/A,#N/A,TRUE,"1842CWN0"}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AM" hidden="1">{"'CptDifn'!$AA$32:$AG$32"}</definedName>
    <definedName name="DEAS" hidden="1">{"'CptDifn'!$AA$32:$AG$32"}</definedName>
    <definedName name="DECG" hidden="1">{"'CptDifn'!$AA$32:$AG$32"}</definedName>
    <definedName name="defwe" hidden="1">{"'Quadro'!$A$4:$BG$78"}</definedName>
    <definedName name="DEGL" hidden="1">{"'CptDifn'!$AA$32:$AG$32"}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smont">'[1]DESMONTAGEM '!$E$80</definedName>
    <definedName name="DESNIVEL" hidden="1">{#N/A,#N/A,FALSE,"RESUMO-BB1";#N/A,#N/A,FALSE,"MOD-A01-R - BB1";#N/A,#N/A,FALSE,"URB-BB1"}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fasf" hidden="1">{#N/A,#N/A,TRUE,"indice";#N/A,#N/A,TRUE,"indicadores";#N/A,#N/A,TRUE,"comentarios"}</definedName>
    <definedName name="dfg" hidden="1">{#N/A,#N/A,TRUE,"1842CWN0"}</definedName>
    <definedName name="DFGADET" hidden="1">{"'gráf jan00'!$A$1:$AK$41"}</definedName>
    <definedName name="DFGDFGD" hidden="1">{"'Quadro'!$A$4:$BG$78"}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hgdf" hidden="1">{#N/A,#N/A,TRUE,"indice";#N/A,#N/A,TRUE,"indicadores";#N/A,#N/A,TRUE,"comentarios"}</definedName>
    <definedName name="dfj" hidden="1">{#N/A,#N/A,TRUE,"INGENIERIA";#N/A,#N/A,TRUE,"COMPRAS";#N/A,#N/A,TRUE,"DIRECCION";#N/A,#N/A,TRUE,"RESUMEN"}</definedName>
    <definedName name="dfp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SDFASDFDA" hidden="1">#REF!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asd" hidden="1">{#N/A,#N/A,TRUE,"1842CWN0"}</definedName>
    <definedName name="dgasg" hidden="1">{#N/A,#N/A,TRUE,"INGENIERIA";#N/A,#N/A,TRUE,"COMPRAS";#N/A,#N/A,TRUE,"DIRECCION";#N/A,#N/A,TRUE,"RESUMEN"}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jdbsc" hidden="1">{#N/A,#N/A,TRUE,"1842CWN0"}</definedName>
    <definedName name="djkdhbdv" hidden="1">{#N/A,#N/A,TRUE,"1842CWN0"}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sojd" hidden="1">{#N/A,#N/A,FALSE,"PCOL"}</definedName>
    <definedName name="dldjdb" hidden="1">{#N/A,#N/A,TRUE,"INGENIERIA";#N/A,#N/A,TRUE,"COMPRAS";#N/A,#N/A,TRUE,"DIRECCION";#N/A,#N/A,TRUE,"RESUMEN"}</definedName>
    <definedName name="DMT">1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" hidden="1">{"'Quadro'!$A$4:$BG$78"}</definedName>
    <definedName name="dsda" hidden="1">{#N/A,#N/A,TRUE,"indice";#N/A,#N/A,TRUE,"indicadores";#N/A,#N/A,TRUE,"comentarios"}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ipaul" hidden="1">{"'gráf jan00'!$A$1:$AK$41"}</definedName>
    <definedName name="dssd" hidden="1">{#N/A,#N/A,TRUE,"INGENIERIA";#N/A,#N/A,TRUE,"COMPRAS";#N/A,#N/A,TRUE,"DIRECCION";#N/A,#N/A,TRUE,"RESUMEN"}</definedName>
    <definedName name="dssdsd" hidden="1">{#N/A,#N/A,TRUE,"1842CWN0"}</definedName>
    <definedName name="dssssss" hidden="1">{"'gráf jan00'!$A$1:$AK$41"}</definedName>
    <definedName name="DV" hidden="1">{"'Quadro'!$A$4:$BG$78"}</definedName>
    <definedName name="dvklsbn" hidden="1">{#N/A,#N/A,TRUE,"INGENIERIA";#N/A,#N/A,TRUE,"COMPRAS";#N/A,#N/A,TRUE,"DIRECCION";#N/A,#N/A,TRUE,"RESUMEN"}</definedName>
    <definedName name="dwd" hidden="1">{"'Quadro'!$A$4:$BG$78"}</definedName>
    <definedName name="dwsdad" hidden="1">{"'ReceitaLiquidaME'!$AA$25:$AN$32"}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DC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" hidden="1">{#N/A,#N/A,FALSE,"RESUMO-BB1";#N/A,#N/A,FALSE,"MOD-A01-R - BB1";#N/A,#N/A,FALSE,"URB-BB1"}</definedName>
    <definedName name="ede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itaveis">#REF!,#REF!,#REF!,#REF!,#REF!,#REF!,#REF!,#REF!,#REF!,#REF!,#REF!,#REF!,#REF!,#REF!,#REF!,#REF!,#REF!,#REF!,#REF!</definedName>
    <definedName name="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C" hidden="1">{"'RR'!$A$2:$E$81"}</definedName>
    <definedName name="EFCEletron" hidden="1">{"'RR'!$A$2:$E$81"}</definedName>
    <definedName name="ef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VM" hidden="1">{"'RR'!$A$2:$E$81"}</definedName>
    <definedName name="EFVM2" hidden="1">{"'RR'!$A$2:$E$81"}</definedName>
    <definedName name="EFVM3" hidden="1">{"'RR'!$A$2:$E$81"}</definedName>
    <definedName name="EJI" hidden="1">{"'Quadro'!$A$4:$BG$78"}</definedName>
    <definedName name="ekc" hidden="1">{#N/A,#N/A,TRUE,"INGENIERIA";#N/A,#N/A,TRUE,"COMPRAS";#N/A,#N/A,TRUE,"DIRECCION";#N/A,#N/A,TRUE,"RESUMEN"}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ton" hidden="1">{"'RR'!$A$2:$E$81"}</definedName>
    <definedName name="EmpAux">""</definedName>
    <definedName name="EmpM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PMWorkbookOptions_1" hidden="1">"VkUBAB|LCAAAAAAABADtvQdgHEmWJSYvbcp7f0r1StfgdKEIgGATJNiQQBDswYjN5pLsHWlHIymrKoHKZVZlXWYWQMztnbz33nvvvffee||997o7nU4n99//P1xmZAFs9s5K2smeIYCqyB8/fnwfPyIe/x7vFmV6mddNUS0/|2h3vPNRmi|n1axYXnz20bo939799KPf4|g3Th5/t6rfTqrq7Zerlpo2Kb23bB69a4rPPpq37erR3btXV1fjq3v"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"38Jb3//8nrY6OoYEhb/HF62enr/6/zrHfNF1|ZGvDZrdqNSDDRNOzN1/fW37/lO/9///Jr9Cw7xz|iE/DZrdqNcCnv9fp7/Ps7HNaWv0hsuqn//9jVUvG/79p1G|YIL/Xs52fvz7zAE1|HifvBijyxfGbJ1/9Pv9fJ8r/e5Q80fP01dnxB|Te31vHP/j/n443VPyRQ/KzyatE2jcvTl/9EFn14P9/rKpE/JEzsoEcEFz94vd/8|Wb4//PG|H/F8"</definedName>
    <definedName name="EPMWorkbookOptions_11" hidden="1">"nwt49f/zADiof/P5RgkPD/j5bmGyTI//eJ8f8ekX199uaHKbG7O///E1mQsC|x/OmP2NRrdqtWA2z65uyLHyqb7v7/j01Bwv|/6dEPoUVIi9/n9PjV6/|vk|P/PfL6k6evXp99|eKHKbJ7//8TWaViyKkvnx|/|P1p7f3|9s/fjGqUMObDH9Gkzyz727sH/18nzP97tNsXp8evKXn9|oep3u79/0|9GTISn4JVKcn65dOzkx|x6fs0CrCJN3p89"</definedName>
    <definedName name="EPMWorkbookOptions_12" hidden="1">"3i1Kotp1hIc|3nwqWlO0KrlkhCnz55mbWY|jn5KnwvVFuWy|eyjeduuHt292|aL1bouxlV9cferJq8dTuN3zeyjo9//2csvfv8nL09efHd35/f/nr40m0yL8np33GSr8WVW5hdlNcnK8TJvH93/dGdn5y59cXeymt79/u//vbMnr3//nzx|fkq/fvny9PemH|dZ2eTENgGrPPaH9544erSLkc4O/QgIdPoVerk56XCR/9W3i9ksX9opbjY03cAj"</definedName>
    <definedName name="EPMWorkbookOptions_13" hidden="1">"r|fVVUeLgH0f3418selVHkXkzYgA8ovEE23|rn2WXVZ10RJePA3ycu|7W7z/rKib1kMg/n0H0I3ycftWA7r||OTky69evJGZ/qGp|/8fpkk8QoY|ysnr3//n8VJ4lCx7P6|j8w2csrOz|yOq9KjyI5J0SHL8|s3/12nyDbqRPppfxwJ|9fTszZtXx2fPv74B3NnZP9jZub39|/9h/tWRsbdY8CNe9ZvdqtUAr5589YoIe/L7fG1OvXfv/v39/f3"</definedName>
    <definedName name="EPMWorkbookOptions_14" hidden="1">"bc|r/D9OOhog/Wi3YRI8nr/4/L7ffLEGw6mm||f3/v88t/y9Sar/PyfOvv/r56YPdnYODB7fXaP8/zDQyBSXN|P|TZPg3QIn/74voN0CE/58spP2/R1mRNTh78/X9L4oUPv303r33CBX2v6a6|n|xuhIa/sj9GqbG7s/jRFCMHvC9/r/PIf/v0WJnb06/|CGn/O///0|PGSo6Xr2nvIpv/r/Ord8cVSDB9OmL17//yZcvXn/1xZc/Io3PMD9SbG"</definedName>
    <definedName name="EPMWorkbookOptions_15" hidden="1">"GzW7UaUGy/1|nv8|zs869eff148v0126f//9NsloyOU7Fm93s9|3nsl0Ro8vPbcR0gyI|YpE|THy2CdJrdqtWAjn/57ePXP0z9/uD/f/qdSfgjPTZIjIc7D3f29|79iCJeRmJvZ2dn70cUsRR5xiT5eWvpIhT5UZam3|xWreLDOXpN8eIP0c4d/P/PzoGCIY/u7R78PBbaPj3|vy|v3xwtfn4r9D49oM/50/|PU|T/PRr9zdkXP0yN/vD/fxodF"</definedName>
    <definedName name="EPMWorkbookOptions_16" hidden="1">"Ay59Pc5PX71|v/rLPrNkeP/|wr9/z3i|pOnr16fffnihyixuzvflMj|v0dklYohm758fvzi99/b2d3f3j34/zrDfqOE|f||/H6j5DB8cn979|GPCOMRxnz4/3Ga/L9H2X9xevyaEvevf5jafvf/f9rekJFYFAx7|ursy6dnJz9i0/dpFGATb/T47vFqVRbTrCU49vPgU9OcoFXLJSFOnz3N2sx8HP2UPheqLcpl89lH87ZdPbp7t80Xq3VdjKv6"</definedName>
    <definedName name="EPMWorkbookOptions_17" hidden="1">"4u5XTV47nMbvmtlHR7//s5df/P5PXp68|O7uzu//PX1pNpkW5fXuuMlW48uszC/KapKV42XePrr/KSWT79IXdyer6d3v//7fO3vy|vf/yePnp/Trq9OfPH3xFX47z8omJ84JuOWxP8L3RNMjX4x6dvRHikOna6Gam5kOL/lffbuYzfKlnehmQ9MNnPJ6Xl11dAmY|PHdyBebXuVRRN6MiCG/SJzR5u/aZ9llVRct4cUzIS/3vrvF|8|Kumk9BOL"</definedName>
    <definedName name="EPMWorkbookOptions_18" hidden="1">"fdwDdKCW3bzWg8Y9PTr786sUbmuwfos7//6GD7|j4I1d2M0Vene7c|/98gvEbtIUfKsBfPT178|bV8dnzry/AOzv7tCJwe/n9/6HL5sjYy//|iFf9ZrdqNcCrJ1|SPjg|efPm93n59VPA9|7dv7|/v397bt37/x|3|oQM|dV88/91pv3mKaP|7PjNl2|OfyTTQbNbtRqS6a9eEYlPfp|vLc|fPtjdOTh4cHt5vvf/Q3lWIvbXHs03v///9x3J/x"</definedName>
    <definedName name="EPMWorkbookOptions_19" hidden="1">"fx7O9z8vzrGyBylz799N699/CX9v9/yLEgoeS3/n|ygvH/HvYk|T978/UV6vvH4/f//8efQsO|Pv2RGg2b3arVAJ8|e3V69vm33/wQGfXT//8xqhIx5NRnr37kpX4DrOqodvbi5Ms3p6|||GGubD34/x|zWjKG7Hp2srPz//mU3jdNE/PxjwLOb1aUvzgmsp4df0C6870l|eD/f5JsqPgjD|lnk1eJtG9enL76IbLqw///saoSsc|p|sXv/yMF|"</definedName>
    <definedName name="EPMWorkbookOptions_2" hidden="1">"jqr64u7ezs3v39/7i|evpPF9k28WyabPlNP/IvjW7|a2PqNc0fXxSLZf5FH2|qU7WdZ0v258s8iv|Mvj6adZm|il9/iJb5NKb7anNF6t1XXBXXzV5/bLOz3OCN83HhNBHR7//s5df/P5PXp68|O7uzu//PX1pNpkW5fXuuMlW48uszC/KapKV42XePrr/6c7Ozl364u5kNb37/d//e2dPXv/|P3n8/JR|/fLl6e/9|39x/Ob01dnxc/r7PCub/P"</definedName>
    <definedName name="EPMWorkbookOptions_20" hidden="1">"40y7evj56evX51|fvblix8i4|7u/P|Pcz1Khtz7|tXOzo8SJkGzW7Ua4tizNx|Qznt/Vv3/4fonSNjXsPzpj9jUa3arVgNs|ubsix8qm/7/cOETJAzZ9Pc5PX71|kc86je7VasBHv3J01evf8iG//|H63lKxZBTzYf/H|fVb5QmL58fv/j9f7SA9A0L8Renx6|/enX6w0x27v7/cI3TkFGWOV9SvuTLp2cnP2LT92kUYBNv9Pju8WpVFtOsJTj2"</definedName>
    <definedName name="EPMWorkbookOptions_21" hidden="1">"8|BT05ygVcslIU6fPc3azHwc/ZQ|F6otymXz2Ufztl09unu3zRerdV2Mq/ri7ldNXjucxu|a2UdHv/|zl1/8/k9enrz47u7O7/89fWk2mRbl9e64yVbjy6zML8pqkpXjZd4|uv/pzs7OXfri7mQ1vfv93/97Z09e//4/SYEf/frm1fGL17//ly9Pf2/64zwrm5yYJ2CYx/4g3xNTj4IxAloCHDk0Or0L7dz8dDjK/|rbxWyWL|10NxuabuCX1/P"</definedName>
    <definedName name="EPMWorkbookOptions_22" hidden="1">"qqqNRwMqP70a|2PQqjyLyZkQY|UXijzZ/1z7LLqu6aAkvngx5uffdLd5/VtRN6yEQ/74D6EZZuX2rAb1/fHLy5Vcv3shM/9BU/3skbqIq62dZi3tECX2PN69|Hq9aDVLl|PWb/6/T5Bu0cB8qkF89PXtD6vfsA1ardnb2D3Z2bi|O75Gc|jkRR0sSx3f3wXdvdnY//YY574fOed8kUTQH9/91kvy/RxhPvnpFhD35fb62KN67d//|/v7|7UXxPR"</definedName>
    <definedName name="EPMWorkbookOptions_23" hidden="1">"JwPxeiaAjSz/uab/5/sBj8zRLn//v0|H|RPP4|J8|/fj780we7OwcHD24vjO|RZvw5EUZQQzINP8qHfcOc9vT0DZnWDwuLdnY|/fTevffww94jIfZzwW|OJt2oiJIFz05f/X|d|75puvxI84fNbtXqRnn8/d98|fVF8r0zFff/vyKSRJYfSeUtSfP0DSVg/79Ol//3yCaR9ezN14|R3l8oP/1/t1AKPUKW2/15nDiM0QMh44/sY9jsVq0GZPCL4"</definedName>
    <definedName name="EPMWorkbookOptions_24" hidden="1">"ze02Hj8AUnD95bCB//vlkJDkR/x3Q|D7364XtnB/zdYr|d4/Ij7vlnue3325uung96f7R7|v5vtQA3Hb/fo19e/z|s3p18QG745/v8D430zhDGCyJ/|f5wi/|8SxR|uEdjd|X|/OPYswM9vIYwaxB/J4Tcph2/OvvhhmsTd3f93CyHIEbLc73N6/Or1IL/1Yf6/kt||OXL8f18h/b9H9n7y9NXrsy9f/DDFb|//3eKnFAlZ7uXz4xe///9PViy/"</definedName>
    <definedName name="EPMWorkbookOptions_25" hidden="1">"UcKYD/8/TpP/9wjkF6fHr796dfr6hymR9/7fLZGGJMRuYD7KU3z59OzkRyz3Po0CbOKNHt89Xq3KYpq1BMd|HnxqmhO0arkkxOmzp1mbmY|jn9LnQrVFuWw||2jetqtHd||2|WK1rotxVV/c/arJa4fT|F0z||jo93/28ovf/8nLkxff3d35/b|nL13OL7PyarVzNRvTL|OmLcfzfDpustV4Uvzg0QGtkd2lP|5OVtO73//9v3f25PXv/5PHz0/"</definedName>
    <definedName name="EPMWorkbookOptions_26" hidden="1">"pV15Ue372|s3vT5ku|vs8K5ucWChgm8f|UN8TX4|OMTJaMhwFmHQQECK6ieqwlv/Vt4vZLF/aeW82NN3AOK/n1VVHTYCnH9|NfLHpVR5F5M2IVPKLxCht/q59ll1WddESXjwf8nLvu1u8/6yom9ZDIP59B9CNQnP7VgPK/Pjk5MuvXrzBlP8Q9fl7JBmOdu9/ev88n5xv3/90tr|9v3f|cPvgfp5v72T53v5s8mD/weQeeg7f|qGbAI|Qzv/Y|/"</definedName>
    <definedName name="EPMWorkbookOptions_27" hidden="1">"9FLPCNkoQTFK/f/IgmHk3u/f|CTb5Bd|FDldpXT8/evHl1fPYBK7c7O/tkrG|v0t4jZfP/GZVmydgR3zdnL37eJnsGifL8|f/XSfL/HgE||fL1mxOi7Omrry3A9|7dv7|/v397AX6PpM//VwTYkfH/b|nJb5oiO/9fJ8j/i2T3q1dE1pPf52tL7qcPdncODh7cXnLfIzn0/xnJVSL|SG430QMLneab3///|8T5f5EM/z4nzz9gwXNn59NP7917D"</definedName>
    <definedName name="EPMWorkbookOptions_28" hidden="1">"|d5//|HEgwSSj6YVmXub|8|/P86e34zlPj5vD7lUeLnlba6WQ99kLYic3D25uv7G||fvrz//z91JTT8kbsxTA04G//fp8j/e3yMszenX/yQlx0|/f|f3Boqhrx68uWL1199cfzk|enP2zxdnzD//8iyf3P0AKPQpy9e//7ELpTRfPPl/9dp8/8e5fZ7nf4|z84|/|rVBwRR763dHvz/T7tZMv7/Ltf|DVPk//t67f89svvFMaWHz44/YO3wvUX3"</definedName>
    <definedName name="EPMWorkbookOptions_29" hidden="1">"4P9/omuo|CMn|meTV19||/j1D9PGPPz/H6MyCUMuffZwh57d/6|z6TdIkf9/yO03SJCTE8plfnr/RxT5kQvys6DWX1Nc9kPU6rs7//9T6yDh/98Y9JujBfQ5f/r/cYr8v0dk35x98UMV2d3//4ksSBiy6e9zevzq//MZzP/38OhPnr56ffblix8mm|79/49NlYohp7589eV3fv|f5wv9ccI8P37xI8JECPPzyB25DTnMh/8fZ5H/9yj7L06PX1O"</definedName>
    <definedName name="EPMWorkbookOptions_3" hidden="1">"uP7wIth|TxalUW08wj6K2RNTBCKN7HSoOjAJMOAkJBR9T07uBX3y5ms3z5tFjky4bRHW7qUG2CNtTq9by6sjBOqrKqj9p6nT||G/li06s8isibvdHpi8Qlbf6ufZZdVnXREl48H/Jy77tbvP|sqJvWQyD|fQeQxXKYQLdt5bf7aln8onXOIz8|OfnyqxdvMOWP78YabIIjVCd5v7|ze|9g1wMQmw9|98t6ltdHO4/vyi9R6M2qzK5f1tUqr9vro"</definedName>
    <definedName name="EPMWorkbookOptions_30" hidden="1">"e|PUPU9vf|/|ftjdkJBYFw1JO88unZyc/YtP3aRRgE2/0|O7xalUW06wlOPbz4FPTnKBVyyUhTp89zdqMP/Y/fFN1B//4VX5e5838y|WXq3x5dJ6VTf74bvghtzsp86wG0C|Xr7PL3LTsfsxtv1vVbydV9ZZ4s2Uymtb9L8L2VzOdtcdnzU9mdZFNyvyLvL5wEHqf/8aJA/vlSqjx/wB3FUgbVkUBAA=="</definedName>
    <definedName name="EPMWorkbookOptions_4" hidden="1">"937n94/zyfn2/c/ne1v7||dP9w|uJ/n2ztZvrc/mzzYfzC5h57DtyKAn2dN|zovSfTz2Rf5YkIaLNIsZMxoA2oi73tk|p5HyO|Pv/fy|NXpizff3qNfXxyTEPfaD8D9dpHXWT2dX7umKSnMR8ui/OwjMM9HHSny3o3M3u3efXz3phF/gyTZpV|PX7/5/zpNHt|9DTt5EvGzJ8FfPT178|bV8dnzry/AOzv7Bzs7t5ff3f8fyq8lY4dX37x89eX/"</definedName>
    <definedName name="EPMWorkbookOptions_5" hidden="1">"17n1GyfK8|f/XyfJ/3sE|OTL129OiLKnr762AN|7d//|/v7|7QV47/9/AuzIGPLqz1/7O0SRnf|vE|T/RbL71Ssi68nv87Ul99MHuzsHBw9uL7n3/n8ouUrEno35/c03v///94X4/0U8|/ucPD/92gxLvuKnn9679x7O4v7/DzkWJCQepf/t7eze3959|P919vxmKLG/vXvw/3VK/L9HUEkTnr35|qbl/dMy9///J6lCw75l|ZFBCZvdqtUAn/5"</definedName>
    <definedName name="EPMWorkbookOptions_6" hidden="1">"ep7/Ps7PPv3r1AUblvVn10///saolY8itv9eznfv7/19n1m|YJj|S3rDZrVoNSK9b6PmhCe|D//8Jr124|5Gl|Vnk1ZffPn79w7QyB///Y1Qm4Ydw6Y|4NNrOo/Hrszc/TCZ9|P8/JgUF|zzKn/5Il3rNbtVqgEvfnH3xw|TS3Z3//7EpSBiy6e9zevzq9f/XefSbIwdSQuM3X745/tFyYdDsVq0G5PYnT1|9PvvyxQ9TdP9/uNyvVAzZ9eXz4x"</definedName>
    <definedName name="EPMWorkbookOptions_7" hidden="1">"e//8/zhO5Gwvz/Ib/7jRLGfPj/cZr8v0e7fXF6/JrSPa9/mOpt7/9/6s2QUVZmXlJq4sunZyc/YtP3aRRgE2/0|O7xalUW06wlOPbz4FPTnKBVyyUhTp89zdrMfBz9lD4Xqi3KZfPZR/O2XT26e7fNF6t1XYyr|uLuV01eO5zG75rZR0e//7OXX/z|T16evPju7s7v/z19aTaZFuX17rjJVuPLrMwvymqSleNl3j66/|nOzs5d|uLuZDW9|/3f/"</definedName>
    <definedName name="EPMWorkbookOptions_8" hidden="1">"3tnT17//j95TOt5v//3vnx5|nv//mcvfpIU3Zevfh/64Dwrm5wYKGCax/5A3xNbj4oxIloiHIWodDAQGrp56nCW/9W3i9ksX9ppbzY03cA3r|fVVUezgKUf3418selVHkXkzYhQ8ovEJ23|rn2WXVZ10RJePCHycu|7W7z/rKib1kMg/n0H0I0yc/tWA/r/|OTky69oomnOf4gm4P|HsalHyNBlOXuxs7P7/3VL8LNAlZ/c2bn3I7J0yHL8|s2P"</definedName>
    <definedName name="EPMWorkbookOptions_9" hidden="1">"aBJhlb2dH5GlQ5b7Ow/|v06Tb9C/9NH8Ombwq6dnb968Oj77gGXZnZ39g52d2xvB/x9meRwZe6sJ/1/n1W|cJG9Ovvzi/|tE|X|PAJ989YpIe/L7fG3xvXfv/v39/f3bi|//D7MYhoghp744/v86m36z9MDSqPnm9//ZJ45i97NGnP8XyfDvc/L86y|Rfvpgd|fg4MHtBfje/w8FGBSUHOTP82WVkBL/f1hH|X|PnD49fUPuzIeljHZ2Pv303r3"</definedName>
    <definedName name="eqpto">'[1]MONTAGEM EletMEc'!$E$113</definedName>
    <definedName name="eqptodesm">'[1]DESMONTAGEM '!$E$81</definedName>
    <definedName name="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b" hidden="1">{"'Quadro'!$A$4:$BG$78"}</definedName>
    <definedName name="erc" hidden="1">{"'RR'!$A$2:$E$81"}</definedName>
    <definedName name="er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rtert" hidden="1">{#N/A,#N/A,TRUE,"1842CWN0"}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scadcorr">'[1]MONTAGEM EletMEc'!$E$119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_B" hidden="1">{#N/A,#N/A,FALSE,"PCOL"}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ut">'[1]MONTAGEM EletMEc'!$E$114</definedName>
    <definedName name="estrutdesm">'[1]DESMONTAGEM '!$E$82</definedName>
    <definedName name="estrutmed">'[1]MONTAGEM EletMEc'!$E$116</definedName>
    <definedName name="estrutpes">'[1]MONTAGEM EletMEc'!$E$117</definedName>
    <definedName name="eU" hidden="1">{#N/A,#N/A,FALSE,"PCOL"}</definedName>
    <definedName name="Exch_Rate">OFFSET(#REF!,0,0,COUNTA(#REF!),2)</definedName>
    <definedName name="ExecFer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rgag" hidden="1">#REF!</definedName>
    <definedName name="FAROL_2" hidden="1">{"'gráf jan00'!$A$1:$AK$41"}</definedName>
    <definedName name="fasdfasfdadsf" hidden="1">{"'gráf jan00'!$A$1:$AK$41"}</definedName>
    <definedName name="fd" hidden="1">{"'Quadro'!$A$4:$BG$78"}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s" hidden="1">{"'gráf jan00'!$A$1:$AK$41"}</definedName>
    <definedName name="FDSFSD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ES" hidden="1">#REF!</definedName>
    <definedName name="Fevereiro" hidden="1">{"'Quadro'!$A$4:$BG$78"}</definedName>
    <definedName name="FFASDF" hidden="1">#REF!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F" hidden="1">#REF!</definedName>
    <definedName name="ffgh" hidden="1">{#N/A,#N/A,TRUE,"1842CWN0"}</definedName>
    <definedName name="ffnkl" hidden="1">{#N/A,#N/A,TRUE,"INGENIERIA";#N/A,#N/A,TRUE,"COMPRAS";#N/A,#N/A,TRUE,"DIRECCION";#N/A,#N/A,TRUE,"RESUMEN"}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bas" hidden="1">{#N/A,#N/A,TRUE,"INGENIERIA";#N/A,#N/A,TRUE,"COMPRAS";#N/A,#N/A,TRUE,"DIRECCION";#N/A,#N/A,TRUE,"RESUMEN"}</definedName>
    <definedName name="fghh" hidden="1">{#N/A,#N/A,FALSE,"magsep2";#N/A,#N/A,FALSE,"¾"" X ½""";#N/A,#N/A,FALSE,"½"" X ¼""";#N/A,#N/A,FALSE,"¼"" X 8 Mesh";#N/A,#N/A,FALSE,"8 X 14 Mesh"}</definedName>
    <definedName name="fghj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jk" hidden="1">{#N/A,#N/A,TRUE,"INGENIERIA";#N/A,#N/A,TRUE,"COMPRAS";#N/A,#N/A,TRUE,"DIRECCION";#N/A,#N/A,TRUE,"RESUMEN"}</definedName>
    <definedName name="fgs" hidden="1">{"'gráf jan00'!$A$1:$AK$41"}</definedName>
    <definedName name="FHDZ" hidden="1">{"'gráf jan00'!$A$1:$AK$41"}</definedName>
    <definedName name="fhf" hidden="1">{#N/A,#N/A,TRUE,"1842CWN0"}</definedName>
    <definedName name="fhg" hidden="1">{#N/A,#N/A,TRUE,"1842CWN0"}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JASLJFIL" hidden="1">{"'gráf jan00'!$A$1:$AK$41"}</definedName>
    <definedName name="fjdkdk" hidden="1">{#N/A,#N/A,TRUE,"INGENIERIA";#N/A,#N/A,TRUE,"COMPRAS";#N/A,#N/A,TRUE,"DIRECCION";#N/A,#N/A,TRUE,"RESUMEN"}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lhg" hidden="1">{#N/A,#N/A,TRUE,"1842CWN0"}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ResumoFlorestas" hidden="1">{"'REL CUSTODIF'!$B$1:$H$72"}</definedName>
    <definedName name="Formato" hidden="1">{"Sin detalle",#N/A,FALSE,"Flujo (redondeado)";"Detallado",#N/A,FALSE,"Flujo (redondeado)"}</definedName>
    <definedName name="FornosBO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ple" hidden="1">{#N/A,#N/A,TRUE,"INGENIERIA";#N/A,#N/A,TRUE,"COMPRAS";#N/A,#N/A,TRUE,"DIRECCION";#N/A,#N/A,TRUE,"RESUMEN"}</definedName>
    <definedName name="Frete_Municipal">#REF!=[0]!UF_DESTINO&amp;" - "&amp;#REF!</definedName>
    <definedName name="FRWAESR" hidden="1">{"'Quadro'!$A$4:$BG$78"}</definedName>
    <definedName name="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" hidden="1">{#N/A,#N/A,TRUE,"INGENIERIA";#N/A,#N/A,TRUE,"COMPRAS";#N/A,#N/A,TRUE,"DIRECCION";#N/A,#N/A,TRUE,"RESUMEN"}</definedName>
    <definedName name="FTU" hidden="1">{"'Quadro'!$A$4:$BG$78"}</definedName>
    <definedName name="fvgh" hidden="1">{#N/A,#N/A,TRUE,"INGENIERIA";#N/A,#N/A,TRUE,"COMPRAS";#N/A,#N/A,TRUE,"DIRECCION";#N/A,#N/A,TRUE,"RESUMEN"}</definedName>
    <definedName name="fvghh" hidden="1">{#N/A,#N/A,TRUE,"1842CWN0"}</definedName>
    <definedName name="fvrj" hidden="1">{#N/A,#N/A,TRUE,"1842CWN0"}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AN" hidden="1">{#N/A,#N/A,FALSE,"PCOL"}</definedName>
    <definedName name="gamen" hidden="1">{#N/A,#N/A,FALSE,"PCOL"}</definedName>
    <definedName name="GAMON" hidden="1">{#N/A,#N/A,FALSE,"PCOL"}</definedName>
    <definedName name="gane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rug01" hidden="1">{"'REL CUSTODIF'!$B$1:$H$72"}</definedName>
    <definedName name="garug1" hidden="1">{#N/A,#N/A,FALSE,"PCOL"}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min" hidden="1">{#N/A,#N/A,FALSE,"PCOL"}</definedName>
    <definedName name="Gemop" hidden="1">{#N/A,#N/A,TRUE,"indice";#N/A,#N/A,TRUE,"indicadores";#N/A,#N/A,TRUE,"comentarios"}</definedName>
    <definedName name="Gerrot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tep" hidden="1">{#N/A,#N/A,TRUE,"indice";#N/A,#N/A,TRUE,"indicadores";#N/A,#N/A,TRUE,"comentarios"}</definedName>
    <definedName name="GFD" hidden="1">{"'gráf jan00'!$A$1:$AK$41"}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jhfdgj" hidden="1">{#N/A,#N/A,TRUE,"1842CWN0"}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hidden="1">{#N/A,#N/A,FALSE,"ET-CAPA";#N/A,#N/A,FALSE,"ET-PAG1";#N/A,#N/A,FALSE,"ET-PAG2";#N/A,#N/A,FALSE,"ET-PAG3";#N/A,#N/A,FALSE,"ET-PAG4";#N/A,#N/A,FALSE,"ET-PAG5"}</definedName>
    <definedName name="GGGG" hidden="1">#REF!</definedName>
    <definedName name="GGGGG" hidden="1">{#N/A,#N/A,FALSE,"ET-CAPA";#N/A,#N/A,FALSE,"ET-PAG1";#N/A,#N/A,FALSE,"ET-PAG2";#N/A,#N/A,FALSE,"ET-PAG3";#N/A,#N/A,FALSE,"ET-PAG4";#N/A,#N/A,FALSE,"ET-PAG5"}</definedName>
    <definedName name="ggtggg" hidden="1">{#N/A,#N/A,FALSE,"DEF1";#N/A,#N/A,FALSE,"DEF2";#N/A,#N/A,FALSE,"DEF3"}</definedName>
    <definedName name="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dfgh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JJKGK" hidden="1">{"'gráf jan00'!$A$1:$AK$41"}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ifbfbv" hidden="1">{#N/A,#N/A,TRUE,"INGENIERIA";#N/A,#N/A,TRUE,"COMPRAS";#N/A,#N/A,TRUE,"DIRECCION";#N/A,#N/A,TRUE,"RESUMEN"}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px" hidden="1">{#N/A,#N/A,TRUE,"INGENIERIA";#N/A,#N/A,TRUE,"COMPRAS";#N/A,#N/A,TRUE,"DIRECCION";#N/A,#N/A,TRUE,"RESUMEN"}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aficomo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tgert" hidden="1">{#N/A,#N/A,TRUE,"indice";#N/A,#N/A,TRUE,"indicadores";#N/A,#N/A,TRUE,"comentarios"}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fd" hidden="1">{#N/A,#N/A,TRUE,"1842CWN0"}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dia">'[1]Eqptos e ferramentas'!$K$1</definedName>
    <definedName name="hfdddslnb" hidden="1">{#N/A,#N/A,TRUE,"1842CWN0"}</definedName>
    <definedName name="hfs" hidden="1">{"'gráf jan00'!$A$1:$AK$41"}</definedName>
    <definedName name="hgf" hidden="1">{#N/A,#N/A,TRUE,"INGENIERIA";#N/A,#N/A,TRUE,"COMPRAS";#N/A,#N/A,TRUE,"DIRECCION";#N/A,#N/A,TRUE,"RESUMEN"}</definedName>
    <definedName name="hgfd" hidden="1">{#N/A,#N/A,TRUE,"1842CWN0"}</definedName>
    <definedName name="HGH" hidden="1">{"'gráf jan00'!$A$1:$AK$41"}</definedName>
    <definedName name="HGHJ" hidden="1">{"'Quadro'!$A$4:$BG$78"}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hh" hidden="1">{"'ReceitaLiquidaME'!$AA$25:$AN$32"}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tgb" hidden="1">{#N/A,#N/A,TRUE,"INGENIERIA";#N/A,#N/A,TRUE,"COMPRAS";#N/A,#N/A,TRUE,"DIRECCION";#N/A,#N/A,TRUE,"RESUMEN"}</definedName>
    <definedName name="Hilfetext">"Bearbeitungsfeld 20"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BJB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ityu" hidden="1">{#N/A,#N/A,TRUE,"1842CWN0"}</definedName>
    <definedName name="hkd" hidden="1">{#N/A,#N/A,TRUE,"1842CWN0"}</definedName>
    <definedName name="hlç" hidden="1">{"'Quadro'!$A$4:$BG$78"}</definedName>
    <definedName name="hnf" hidden="1">{#N/A,#N/A,TRUE,"1842CWN0"}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rautil">'[1]CARGA HORARIA UTIL'!$A$28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JHRHR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_2" hidden="1">{"'ReceitaLiquidaME'!$AA$25:$AN$32"}</definedName>
    <definedName name="HTML_Control1" hidden="1">{"'Placar Intranet'!$A$2:$K$24"}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PathFileMac" hidden="1">"Macintosh HD:HomePageStuff:New_Home_Page:datafile:histret.html"</definedName>
    <definedName name="HTML_Title" hidden="1">"TabLoc"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" hidden="1">{"'gráf jan00'!$A$1:$AK$41"}</definedName>
    <definedName name="hutil">'[1]Eqptos e ferramentas'!$J$1</definedName>
    <definedName name="hynj" hidden="1">{#N/A,#N/A,TRUE,"1842CWN0"}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act" hidden="1">{#N/A,#N/A,TRUE,"1842CWN0"}</definedName>
    <definedName name="iam" hidden="1">{#N/A,#N/A,FALSE,"magsep2";#N/A,#N/A,FALSE,"¾"" X ½""";#N/A,#N/A,FALSE,"½"" X ¼""";#N/A,#N/A,FALSE,"¼"" X 8 Mesh";#N/A,#N/A,FALSE,"8 X 14 Mesh"}</definedName>
    <definedName name="IIII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jfd" hidden="1">{#N/A,#N/A,TRUE,"INGENIERIA";#N/A,#N/A,TRUE,"COMPRAS";#N/A,#N/A,TRUE,"DIRECCION";#N/A,#N/A,TRUE,"RESUMEN"}</definedName>
    <definedName name="ijjbg" hidden="1">{#N/A,#N/A,TRUE,"1842CWN0"}</definedName>
    <definedName name="imgt" hidden="1">{#N/A,#N/A,TRUE,"INGENIERIA";#N/A,#N/A,TRUE,"COMPRAS";#N/A,#N/A,TRUE,"DIRECCION";#N/A,#N/A,TRUE,"RESUMEN"}</definedName>
    <definedName name="immmm" hidden="1">{#N/A,#N/A,FALSE,"DEF1";#N/A,#N/A,FALSE,"DEF2";#N/A,#N/A,FALSE,"DEF3"}</definedName>
    <definedName name="in" hidden="1">{#N/A,#N/A,FALSE,"DEF1";#N/A,#N/A,FALSE,"DEF2";#N/A,#N/A,FALSE,"DEF3"}</definedName>
    <definedName name="Intran" hidden="1">{"'teste'!$B$2:$R$49"}</definedName>
    <definedName name="IntroPrintArea" hidden="1">#REF!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o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em">#REF!:#REF!</definedName>
    <definedName name="IUO" hidden="1">{"'Quadro'!$A$4:$BG$78"}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fde" hidden="1">{#N/A,#N/A,TRUE,"INGENIERIA";#N/A,#N/A,TRUE,"COMPRAS";#N/A,#N/A,TRUE,"DIRECCION";#N/A,#N/A,TRUE,"RESUMEN"}</definedName>
    <definedName name="jhg" hidden="1">{#N/A,#N/A,TRUE,"1842CWN0"}</definedName>
    <definedName name="JJ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JJ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J" hidden="1">{#N/A,#N/A,TRUE,"INGENIERIA";#N/A,#N/A,TRUE,"COMPRAS";#N/A,#N/A,TRUE,"DIRECCION";#N/A,#N/A,TRUE,"RESUMEN"}</definedName>
    <definedName name="j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o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hidden="1">{#N/A,#N/A,FALSE,"PCOL"}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hidden="1">{#N/A,#N/A,FALSE,"PCOL"}</definedName>
    <definedName name="kasdfç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dbdif" hidden="1">{#N/A,#N/A,TRUE,"1842CWN0"}</definedName>
    <definedName name="kdjdbv" hidden="1">{#N/A,#N/A,TRUE,"1842CWN0"}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ey" hidden="1">#REF!</definedName>
    <definedName name="khgfd" hidden="1">{#N/A,#N/A,TRUE,"INGENIERIA";#N/A,#N/A,TRUE,"COMPRAS";#N/A,#N/A,TRUE,"DIRECCION";#N/A,#N/A,TRUE,"RESUMEN"}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hgjk" hidden="1">{"'gráf jan00'!$A$1:$AK$41"}</definedName>
    <definedName name="kjshgsv" hidden="1">{#N/A,#N/A,TRUE,"INGENIERIA";#N/A,#N/A,TRUE,"COMPRAS";#N/A,#N/A,TRUE,"DIRECCION";#N/A,#N/A,TRUE,"RESUMEN"}</definedName>
    <definedName name="KKLKLKLKL" hidden="1">{"'Resumo2'!$B$2:$J$23"}</definedName>
    <definedName name="klfjdh" hidden="1">{#N/A,#N/A,TRUE,"1842CWN0"}</definedName>
    <definedName name="klh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" hidden="1">{#N/A,#N/A,FALSE,"PCOL"}</definedName>
    <definedName name="kshsv" hidden="1">{#N/A,#N/A,TRUE,"1842CWN0"}</definedName>
    <definedName name="lab" hidden="1">{"'gráf jan00'!$A$1:$AK$41"}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eb" hidden="1">{#N/A,#N/A,TRUE,"1842CWN0"}</definedName>
    <definedName name="lega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onardo" hidden="1">{"'gráf jan00'!$A$1:$AK$41"}</definedName>
    <definedName name="let" hidden="1">"Quadro Logistico Maio"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iberadas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ig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vre" hidden="1">{"'INDICE'!$A$1:$K$78"}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J" hidden="1">{"'Quadro'!$A$4:$BG$78"}</definedName>
    <definedName name="lksjks" hidden="1">{#N/A,#N/A,TRUE,"INGENIERIA";#N/A,#N/A,TRUE,"COMPRAS";#N/A,#N/A,TRUE,"DIRECCION";#N/A,#N/A,TRUE,"RESUMEN"}</definedName>
    <definedName name="l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L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mgf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hidden="1">{#N/A,#N/A,TRUE,"1842CWN0"}</definedName>
    <definedName name="LoteBonito2" hidden="1">{"'Resumo2'!$B$2:$J$23"}</definedName>
    <definedName name="LS">"N"</definedName>
    <definedName name="lsb" hidden="1">{#N/A,#N/A,TRUE,"1842CWN0"}</definedName>
    <definedName name="lsksk" hidden="1">{#N/A,#N/A,TRUE,"1842CWN0"}</definedName>
    <definedName name="LU" hidden="1">{"'gráf jan00'!$A$1:$AK$41"}</definedName>
    <definedName name="luis" hidden="1">{"'Plan1 (2)'!$A$5:$F$63"}</definedName>
    <definedName name="LUSI" hidden="1">{#N/A,#N/A,FALSE,"ET-CAPA";#N/A,#N/A,FALSE,"ET-PAG1";#N/A,#N/A,FALSE,"ET-PAG2";#N/A,#N/A,FALSE,"ET-PAG3";#N/A,#N/A,FALSE,"ET-PAG4";#N/A,#N/A,FALSE,"ET-PAG5"}</definedName>
    <definedName name="lvc" hidden="1">{#N/A,#N/A,TRUE,"1842CWN0"}</definedName>
    <definedName name="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ç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cro1">#N/A</definedName>
    <definedName name="Macro2">#N/A</definedName>
    <definedName name="Macro3">#N/A</definedName>
    <definedName name="maf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n" hidden="1">{"'gráf jan00'!$A$1:$AK$41"}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RIA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hidden="1">{"'INDICE'!$A$1:$K$78"}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mór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ner" hidden="1">{#N/A,#N/A,FALSE,"ET-CAPA";#N/A,#N/A,FALSE,"ET-PAG1";#N/A,#N/A,FALSE,"ET-PAG2";#N/A,#N/A,FALSE,"ET-PAG3";#N/A,#N/A,FALSE,"ET-PAG4";#N/A,#N/A,FALSE,"ET-PAG5"}</definedName>
    <definedName name="Miner1" hidden="1">{#N/A,#N/A,FALSE,"ET-CAPA";#N/A,#N/A,FALSE,"ET-PAG1";#N/A,#N/A,FALSE,"ET-PAG2";#N/A,#N/A,FALSE,"ET-PAG3";#N/A,#N/A,FALSE,"ET-PAG4";#N/A,#N/A,FALSE,"ET-PAG5"}</definedName>
    <definedName name="miner2" hidden="1">{#N/A,#N/A,FALSE,"ET-CAPA";#N/A,#N/A,FALSE,"ET-PAG1";#N/A,#N/A,FALSE,"ET-PAG2";#N/A,#N/A,FALSE,"ET-PAG3";#N/A,#N/A,FALSE,"ET-PAG4";#N/A,#N/A,FALSE,"ET-PAG5"}</definedName>
    <definedName name="mj" hidden="1">{#N/A,#N/A,TRUE,"1842CWN0"}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MM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OA" hidden="1">{#N/A,#N/A,FALSE,"DEF1";#N/A,#N/A,FALSE,"DEF2";#N/A,#N/A,FALSE,"DEF3"}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" hidden="1">{#N/A,#N/A,FALSE,"SITUAÇÃO DIÁRIA ";#N/A,#N/A,FALSE,"7 à 7"}</definedName>
    <definedName name="MOEDA_SIMBOLO">OFFSET(#REF!,0,0,COUNTA(#REF!),1)</definedName>
    <definedName name="mont">'[1]MONTAGEM EletMEc'!$E$108</definedName>
    <definedName name="msdk" hidden="1">{#N/A,#N/A,TRUE,"1842CWN0"}</definedName>
    <definedName name="MULHRT" hidden="1">{"'gráf jan00'!$A$1:$AK$41"}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" hidden="1">{"'CptDifn'!$AA$32:$AG$32"}</definedName>
    <definedName name="N.Ferrosos" hidden="1">{"'CptDifn'!$AA$32:$AG$32"}</definedName>
    <definedName name="n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cg" hidden="1">{#N/A,#N/A,TRUE,"1842CWN0"}</definedName>
    <definedName name="negócio" hidden="1">{"'gráf jan00'!$A$1:$AK$41"}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Lant">5</definedName>
    <definedName name="NLEq">4</definedName>
    <definedName name="NLmin">5</definedName>
    <definedName name="NLMo">6</definedName>
    <definedName name="NLMp">5</definedName>
    <definedName name="NLTr">3</definedName>
    <definedName name="n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hidden="1">{#N/A,#N/A,TRUE,"1842CWN0"}</definedName>
    <definedName name="NNNN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nnnn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V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asohsx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hb" hidden="1">{#N/A,#N/A,TRUE,"1842CWN0"}</definedName>
    <definedName name="ohcd" hidden="1">{#N/A,#N/A,TRUE,"1842CWN0"}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lnah" hidden="1">{#N/A,#N/A,TRUE,"Summary";#N/A,#N/A,TRUE,"Worksheet";#N/A,#N/A,TRUE,"CashFlow"}</definedName>
    <definedName name="OÑLÑKLÑ" hidden="1">{#N/A,#N/A,TRUE,"1842CWN0"}</definedName>
    <definedName name="OnOff">"ON"</definedName>
    <definedName name="ooo" hidden="1">{#N/A,#N/A,FALSE,"magsep2";#N/A,#N/A,FALSE,"¾"" X ½""";#N/A,#N/A,FALSE,"½"" X ¼""";#N/A,#N/A,FALSE,"¼"" X 8 Mesh";#N/A,#N/A,FALSE,"8 X 14 Mesh"}</definedName>
    <definedName name="OOOO" hidden="1">{"'Plan1 (2)'!$A$5:$F$63"}</definedName>
    <definedName name="OOOO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UTUBRO" hidden="1">{#N/A,#N/A,FALSE,"SITUAÇÃO DIÁRIA ";#N/A,#N/A,FALSE,"7 à 7"}</definedName>
    <definedName name="padr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s" hidden="1">#REF!</definedName>
    <definedName name="pasta2" hidden="1">#REF!</definedName>
    <definedName name="pata" hidden="1">{#N/A,#N/A,FALSE,"SITUAÇÃO DIÁRIA ";#N/A,#N/A,FALSE,"7 à 7"}</definedName>
    <definedName name="PAZ.COM.N" hidden="1">{"'TelRDAV'!$A$1:$T$20"}</definedName>
    <definedName name="PDCA" hidden="1">{"'RR'!$A$2:$E$81"}</definedName>
    <definedName name="pen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c_DIFAL_Frete_Terr">IF(Frete_Municipal,0,[0]!Perc_ICMS_Interno-INDEX(#REF!,MATCH(LEFT(#REF!,2),#REF!,0),MATCH([0]!UF_DESTINO,#REF!,0)))</definedName>
    <definedName name="Perc_ICMS_Frete_Terr">IF(Frete_Municipal,0,INDEX(#REF!,MATCH(LEFT(#REF!,2),#REF!,0),MATCH([0]!UF_DESTINO,#REF!,0)))</definedName>
    <definedName name="Perc_ICMS_Interno">INDEX(#REF!,[0]!UF_DESTINO_LIN,[0]!UF_DESTINO_COL)</definedName>
    <definedName name="Perc_ICMS_Tabela">INDEX(#REF!,[0]!UF_ORIGEM_LIN,[0]!UF_DESTINO_COL)</definedName>
    <definedName name="Perc_ISS_Frete_Terr">IF(Frete_Municipal,#REF!,0)</definedName>
    <definedName name="PESSOAL">"$"</definedName>
    <definedName name="PEV" hidden="1">{"'Quadro'!$A$4:$BG$78"}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mnsj" hidden="1">{#N/A,#N/A,TRUE,"Summary";#N/A,#N/A,TRUE,"Worksheet";#N/A,#N/A,TRUE,"CashFlow"}</definedName>
    <definedName name="plan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mt" hidden="1">{#N/A,#N/A,TRUE,"INGENIERIA";#N/A,#N/A,TRUE,"COMPRAS";#N/A,#N/A,TRUE,"DIRECCION";#N/A,#N/A,TRUE,"RESUMEN"}</definedName>
    <definedName name="pnow" hidden="1">{"'gráf jan00'!$A$1:$AK$41"}</definedName>
    <definedName name="p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ular" hidden="1">{#N/A,#N/A,FALSE,"Cronograma";#N/A,#N/A,FALSE,"Cronogr. 2"}</definedName>
    <definedName name="Portos1" hidden="1">{"'RR'!$A$2:$E$81"}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D" hidden="1">#REF!</definedName>
    <definedName name="PP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RA" hidden="1">{"'CptDifn'!$AA$32:$AG$32"}</definedName>
    <definedName name="Prd">IF(PR&gt;0,PR,IF(#REF!&gt;0,#REF!,1))</definedName>
    <definedName name="priordefini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od" hidden="1">{"'IndicadoresRH'!$AA$50:$AP$67"}</definedName>
    <definedName name="Prog.Excel._Set" hidden="1">{"'teste'!$B$2:$R$49"}</definedName>
    <definedName name="proposta" hidden="1">{"'Quadro'!$A$4:$BG$78"}</definedName>
    <definedName name="Provisorio" hidden="1">#REF!</definedName>
    <definedName name="pump" hidden="1">{#N/A,#N/A,FALSE,"magsep2";#N/A,#N/A,FALSE,"¾"" X ½""";#N/A,#N/A,FALSE,"½"" X ¼""";#N/A,#N/A,FALSE,"¼"" X 8 Mesh";#N/A,#N/A,FALSE,"8 X 14 Mesh"}</definedName>
    <definedName name="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pf" hidden="1">{#N/A,#N/A,TRUE,"1842CWN0"}</definedName>
    <definedName name="QQ" hidden="1">{"'gráf jan00'!$A$1:$AK$41"}</definedName>
    <definedName name="qq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Q" hidden="1">{"'gráf jan00'!$A$1:$AK$41"}</definedName>
    <definedName name="QQQQ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q" hidden="1">{"'gráf jan00'!$A$1:$AK$41"}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ue" hidden="1">{#N/A,#N/A,FALSE,"PCOL"}</definedName>
    <definedName name="QUQT" hidden="1">{"'gráf jan00'!$A$1:$AK$41"}</definedName>
    <definedName name="qw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qq" hidden="1">{#N/A,#N/A,FALSE,"PCOL"}</definedName>
    <definedName name="qwqw" hidden="1">{#N/A,#N/A,FALSE,"PCOL"}</definedName>
    <definedName name="qwqweq" hidden="1">{#N/A,#N/A,FALSE,"PCOL"}</definedName>
    <definedName name="qwqwq" hidden="1">{#N/A,#N/A,FALSE,"PCOL"}</definedName>
    <definedName name="qwqwsq" hidden="1">{#N/A,#N/A,FALSE,"PCOL"}</definedName>
    <definedName name="RA" hidden="1">{"'Quadro'!$A$4:$BG$78"}</definedName>
    <definedName name="RD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p" hidden="1">#REF!</definedName>
    <definedName name="RES" hidden="1">{"'Quadro'!$A$4:$BG$78"}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T" hidden="1">{"'Quadro'!$A$4:$BG$78"}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hidden="1">{#N/A,#N/A,TRUE,"INGENIERIA";#N/A,#N/A,TRUE,"COMPRAS";#N/A,#N/A,TRUE,"DIRECCION";#N/A,#N/A,TRUE,"RESUMEN"}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TY" hidden="1">{"'Quadro'!$A$4:$BG$78"}</definedName>
    <definedName name="R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io" hidden="1">{#N/A,#N/A,FALSE,"Cronograma";#N/A,#N/A,FALSE,"Cronogr. 2"}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FALSE</definedName>
    <definedName name="RiskExcelReportsToGenerate">704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FALSE</definedName>
    <definedName name="RiskStandardRecalc" hidden="1">2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" hidden="1">{"'Plan1 (2)'!$A$5:$F$63"}</definedName>
    <definedName name="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E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" hidden="1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c" hidden="1">{#N/A,#N/A,FALSE,"PCOL"}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ario">2</definedName>
    <definedName name="SAPBEXdnldView" hidden="1">"46WC49HXZ7F4OQUCHLL2PX6VI"</definedName>
    <definedName name="SAPBEXsysID" hidden="1">"WPP"</definedName>
    <definedName name="saquinho" hidden="1">{#N/A,#N/A,FALSE,"PCOL"}</definedName>
    <definedName name="SAR" hidden="1">{"'Quadro'!$A$4:$BG$78"}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sa" hidden="1">{"'gráf jan00'!$A$1:$AK$41"}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Dialog">"Schaltfläche 10"</definedName>
    <definedName name="SchPrüfen">"Schaltfläche 8"</definedName>
    <definedName name="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DA" hidden="1">#REF!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FDFDF" hidden="1">{"'gráf jan00'!$A$1:$AK$41"}</definedName>
    <definedName name="sdjshs" hidden="1">{#N/A,#N/A,TRUE,"INGENIERIA";#N/A,#N/A,TRUE,"COMPRAS";#N/A,#N/A,TRUE,"DIRECCION";#N/A,#N/A,TRUE,"RESUMEN"}</definedName>
    <definedName name="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yhl" hidden="1">{#N/A,#N/A,TRUE,"1842CWN0"}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LB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ncount" hidden="1">1</definedName>
    <definedName name="SEPENTIN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R" hidden="1">{"'Quadro'!$A$4:$BG$78"}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ksdmfd" hidden="1">{#N/A,#N/A,TRUE,"1842CWN0"}</definedName>
    <definedName name="sksjsb" hidden="1">{#N/A,#N/A,TRUE,"INGENIERIA";#N/A,#N/A,TRUE,"COMPRAS";#N/A,#N/A,TRUE,"DIRECCION";#N/A,#N/A,TRUE,"RESUMEN"}</definedName>
    <definedName name="sksks" hidden="1">{#N/A,#N/A,TRUE,"1842CWN0"}</definedName>
    <definedName name="sni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0</definedName>
    <definedName name="solver_sho" hidden="1">0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#REF!</definedName>
    <definedName name="ssddf" hidden="1">{#N/A,#N/A,TRUE,"INGENIERIA";#N/A,#N/A,TRUE,"COMPRAS";#N/A,#N/A,TRUE,"DIRECCION";#N/A,#N/A,TRUE,"RESUMEN"}</definedName>
    <definedName name="SSDF" hidden="1">{"'Quadro'!$A$4:$BG$78"}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" hidden="1">{#N/A,#N/A,FALSE,"PCOL"}</definedName>
    <definedName name="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ubtotais">#REF!,#REF!,#REF!</definedName>
    <definedName name="supormisc">'[1]MONTAGEM EletMEc'!$E$118</definedName>
    <definedName name="SWE" hidden="1">{"'Quadro'!$A$4:$BG$78"}</definedName>
    <definedName name="SWR" hidden="1">{"'Quadro'!$A$4:$BG$78"}</definedName>
    <definedName name="t" hidden="1">{#N/A,#N/A,FALSE,"PCOL"}</definedName>
    <definedName name="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leros" hidden="1">{#N/A,#N/A,TRUE,"1842CWN0"}</definedName>
    <definedName name="TEMP" hidden="1">{#N/A,#N/A,FALSE,"PCOL"}</definedName>
    <definedName name="ter" hidden="1">#REF!</definedName>
    <definedName name="TE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a">#REF!:OFFSET(#REF!,#REF!-1,0)</definedName>
    <definedName name="TextRefCopyRangeCount" hidden="1">1</definedName>
    <definedName name="T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HR" hidden="1">{"'gráf jan00'!$A$1:$AK$41"}</definedName>
    <definedName name="THTRHT" hidden="1">{"'gráf jan00'!$A$1:$AK$41"}</definedName>
    <definedName name="thvf" hidden="1">{#N/A,#N/A,TRUE,"1842CWN0"}</definedName>
    <definedName name="TipoObra">2</definedName>
    <definedName name="TipoRel">"DNIT"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T">OFFSET(SRV,,4)</definedName>
    <definedName name="tran" hidden="1">{"'Quadro'!$A$4:$BG$78"}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t" hidden="1">{"'gráf jan00'!$A$1:$AK$41"}</definedName>
    <definedName name="TRYRT" hidden="1">{#N/A,#N/A,TRUE,"1842CWN0"}</definedName>
    <definedName name="TRYU" hidden="1">{"'Quadro'!$A$4:$BG$78"}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ER" hidden="1">{"'Quadro'!$A$4:$BG$78"}</definedName>
    <definedName name="TTT" hidden="1">{"'gráf jan00'!$A$1:$AK$41"}</definedName>
    <definedName name="TTTT" hidden="1">{"'gráf jan00'!$A$1:$AK$41"}</definedName>
    <definedName name="TTTTTT" hidden="1">{"'Plan1 (2)'!$A$5:$F$63"}</definedName>
    <definedName name="tubul">'[1]MONTAGEM EletMEc'!$E$120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nbdf" hidden="1">{#N/A,#N/A,TRUE,"1842CWN0"}</definedName>
    <definedName name="TYRYFUYH" hidden="1">#REF!</definedName>
    <definedName name="TYU" hidden="1">{"'Quadro'!$A$4:$BG$78"}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F_DESTINO_COL">MATCH(UF_DESTINO,#REF!,0)</definedName>
    <definedName name="UF_DESTINO_LIN">MATCH(UF_DESTINO,#REF!,0)</definedName>
    <definedName name="UF_ORIGEM">UPPER(RIGHT(#REF!,2))</definedName>
    <definedName name="UF_ORIGEM_LIN">MATCH(UF_ORIGEM,#REF!,0)</definedName>
    <definedName name="uhmas" hidden="1">{#N/A,#N/A,TRUE,"1842CWN0"}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jd" hidden="1">{#N/A,#N/A,TRUE,"1842CWN0"}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oluyk" hidden="1">{#N/A,#N/A,TRUE,"indice";#N/A,#N/A,TRUE,"indicadores";#N/A,#N/A,TRUE,"comentarios"}</definedName>
    <definedName name="usimin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" hidden="1">{"'REL CUSTODIF'!$B$1:$H$72"}</definedName>
    <definedName name="UUUU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U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dk" hidden="1">{#N/A,#N/A,TRUE,"1842CWN0"}</definedName>
    <definedName name="vgbn" hidden="1">{#N/A,#N/A,TRUE,"INGENIERIA";#N/A,#N/A,TRUE,"COMPRAS";#N/A,#N/A,TRUE,"DIRECCION";#N/A,#N/A,TRUE,"RESUMEN"}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lfhrv" hidden="1">{#N/A,#N/A,TRUE,"INGENIERIA";#N/A,#N/A,TRUE,"COMPRAS";#N/A,#N/A,TRUE,"DIRECCION";#N/A,#N/A,TRUE,"RESUMEN"}</definedName>
    <definedName name="vp" hidden="1">{"'Quadro'!$A$4:$BG$78"}</definedName>
    <definedName name="vr" hidden="1">#REF!</definedName>
    <definedName name="VV" hidden="1">{"Sin detalle",#N/A,FALSE,"Flujo (redondeado)";"Detallado",#N/A,FALSE,"Flujo (redondeado)"}</definedName>
    <definedName name="vvv" hidden="1">{#N/A,#N/A,TRUE,"COVERSHEET";#N/A,#N/A,TRUE,"LEGEND";#N/A,#N/A,TRUE,"LIST"}</definedName>
    <definedName name="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dfaw" hidden="1">{#N/A,#N/A,TRUE,"indice";#N/A,#N/A,TRUE,"indicadores";#N/A,#N/A,TRUE,"comentarios"}</definedName>
    <definedName name="wdewdwd" hidden="1">{#N/A,#N/A,FALSE,"PCOL"}</definedName>
    <definedName name="wdfgr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wd" hidden="1">{#N/A,#N/A,FALSE,"PCOL"}</definedName>
    <definedName name="WE" hidden="1">#REF!</definedName>
    <definedName name="wedwedw" hidden="1">{#N/A,#N/A,FALSE,"PCOL"}</definedName>
    <definedName name="wedwew" hidden="1">{#N/A,#N/A,FALSE,"PCOL"}</definedName>
    <definedName name="w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we" hidden="1">{#N/A,#N/A,FALSE,"PCOL"}</definedName>
    <definedName name="wewedwedw" hidden="1">{#N/A,#N/A,FALSE,"PCOL"}</definedName>
    <definedName name="wewew" hidden="1">{#N/A,#N/A,FALSE,"PCOL"}</definedName>
    <definedName name="will" hidden="1">{#N/A,#N/A,FALSE,"magsep2";#N/A,#N/A,FALSE,"¾"" X ½""";#N/A,#N/A,FALSE,"½"" X ¼""";#N/A,#N/A,FALSE,"¼"" X 8 Mesh";#N/A,#N/A,FALSE,"8 X 14 Mesh"}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q" hidden="1">{"Sin detalle",#N/A,FALSE,"Flujo (redondeado)";"Detallado",#N/A,FALSE,"Flujo (redondeado)"}</definedName>
    <definedName name="WR" hidden="1">{"'Quadro'!$A$4:$BG$78"}</definedName>
    <definedName name="wr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Aging._.and._.Trend._.Analysis." hidden="1">{#N/A,#N/A,FALSE,"Aging Summary";#N/A,#N/A,FALSE,"Ratio Analysis";#N/A,#N/A,FALSE,"Test 120 Day Accts";#N/A,#N/A,FALSE,"Tickmarks"}</definedName>
    <definedName name="wrn.All._.Data." hidden="1">{#N/A,#N/A,FALSE,"magsep2";#N/A,#N/A,FALSE,"¾"" X ½""";#N/A,#N/A,FALSE,"½"" X ¼""";#N/A,#N/A,FALSE,"¼"" X 8 Mesh";#N/A,#N/A,FALSE,"8 X 14 Mesh"}</definedName>
    <definedName name="wrn.BB1." hidden="1">{#N/A,#N/A,FALSE,"RESUMO-BB1";#N/A,#N/A,FALSE,"MOD-A01-R - BB1";#N/A,#N/A,FALSE,"URB-BB1"}</definedName>
    <definedName name="wrn.BB2" hidden="1">{#N/A,#N/A,FALSE,"RESUMO-BB1";#N/A,#N/A,FALSE,"MOD-A01-R - BB1";#N/A,#N/A,FALSE,"URB-BB1"}</definedName>
    <definedName name="wrn.BETER." hidden="1">{#N/A,#N/A,FALSE,"BETER -1";#N/A,#N/A,FALSE,"BETER -2";#N/A,#N/A,FALSE,"BETER -3";#N/A,#N/A,FALSE,"BETER -urb";#N/A,#N/A,FALSE,"BETER -RESUMO"}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ivil._.works." hidden="1">{#N/A,#N/A,TRUE,"1842CWN0"}</definedName>
    <definedName name="wrn.CLIENTE_PRECO.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QUANT.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OVES." hidden="1">{#N/A,#N/A,FALSE,"Plan1";#N/A,#N/A,FALSE,"Despesas Diversas por C.Custo"}</definedName>
    <definedName name="wrn.CMF." hidden="1">{"CMF",#N/A,TRUE,"HW";"CMF",#N/A,TRUE,"SW";"CMF",#N/A,TRUE,"TELESSUP.";"CMF",#N/A,TRUE,"DCN &amp; Acess";"CMF",#N/A,TRUE,"Sobressalentes";"CMF",#N/A,TRUE,"Mat. Instal.";"CMF",#N/A,TRUE,"Doc. Técnica"}</definedName>
    <definedName name="wrn.comentario." hidden="1">{#N/A,#N/A,FALSE,"PCOL"}</definedName>
    <definedName name="wrn.Completo." hidden="1">{"Sin detalle",#N/A,FALSE,"Flujo (redondeado)";"Detallado",#N/A,FALSE,"Flujo (redondeado)"}</definedName>
    <definedName name="wrn.Cronograma." hidden="1">{#N/A,#N/A,FALSE,"Cronograma";#N/A,#N/A,FALSE,"Cronogr. 2"}</definedName>
    <definedName name="wrn.CUSTO._.DE._.PRODUÇÃO._.MINA._.DE._.MANGANES._.DO._.AZUL.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def9806." hidden="1">{#N/A,#N/A,FALSE,"DEF1";#N/A,#N/A,FALSE,"DEF2";#N/A,#N/A,FALSE,"DEF3"}</definedName>
    <definedName name="wrn.Equipment._.List." hidden="1">{#N/A,#N/A,TRUE,"COVERSHEET";#N/A,#N/A,TRUE,"LEGEND";#N/A,#N/A,TRUE,"LIST"}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AL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AL1." hidden="1">{#N/A,#N/A,FALSE,"ET-CAPA";#N/A,#N/A,FALSE,"ET-PAG1";#N/A,#N/A,FALSE,"ET-PAG2";#N/A,#N/A,FALSE,"ET-PAG3";#N/A,#N/A,FALSE,"ET-PAG4";#N/A,#N/A,FALSE,"ET-PAG5"}</definedName>
    <definedName name="wrn.GERAL2." hidden="1">{#N/A,#N/A,FALSE,"ET-CAPA";#N/A,#N/A,FALSE,"ET-PAG1";#N/A,#N/A,FALSE,"ET-PAG2";#N/A,#N/A,FALSE,"ET-PAG3";#N/A,#N/A,FALSE,"ET-PAG4";#N/A,#N/A,FALSE,"ET-PAG5"}</definedName>
    <definedName name="wrn.gere." hidden="1">{#N/A,#N/A,FALSE,"GQGEMPRE"}</definedName>
    <definedName name="wrn.geren." hidden="1">{#N/A,#N/A,FALSE,"EXPORTAC";#N/A,#N/A,FALSE,"SUPEL94"}</definedName>
    <definedName name="wrn.GERENCIA." hidden="1">{#N/A,#N/A,TRUE,"INGENIERIA";#N/A,#N/A,TRUE,"COMPRAS";#N/A,#N/A,TRUE,"DIRECCION";#N/A,#N/A,TRUE,"RESUMEN"}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IO_luettelo." hidden="1">{"Jarjestelman_ioluettelo",#N/A,FALSE,"Short Circulation"}</definedName>
    <definedName name="WRN.PE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._.Sketches." hidden="1">{#N/A,#N/A,FALSE,"Sketch1";#N/A,#N/A,FALSE,"Sketch2";#N/A,#N/A,FALSE,"Sketch3"}</definedName>
    <definedName name="wrn.rel.custo._.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CUSTO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Standard." hidden="1">{#N/A,#N/A,TRUE,"Summary";#N/A,#N/A,TRUE,"Worksheet"}</definedName>
    <definedName name="wrn.teste." hidden="1">{#N/A,#N/A,TRUE,"indice";#N/A,#N/A,TRUE,"indicadores";#N/A,#N/A,TRUE,"comentarios"}</definedName>
    <definedName name="wrn.Una._.Hoja." hidden="1">{"Sin detalle",#N/A,FALSE,"Flujo (redondeado)"}</definedName>
    <definedName name="wrn.X_Print._.All." hidden="1">{#N/A,#N/A,TRUE,"Summary";#N/A,#N/A,TRUE,"Worksheet";#N/A,#N/A,TRUE,"CashFlow"}</definedName>
    <definedName name="wsewew" hidden="1">{#N/A,#N/A,FALSE,"PCOL"}</definedName>
    <definedName name="WS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{"Sin detalle",#N/A,FALSE,"Flujo (redondeado)";"Detallado",#N/A,FALSE,"Flujo (redondeado)"}</definedName>
    <definedName name="WWWWWWWWWW" hidden="1">{"'gráf jan00'!$A$1:$AK$41"}</definedName>
    <definedName name="x" hidden="1">{"'Plan1 (2)'!$A$5:$F$63"}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cxcx" hidden="1">{"'gráf jan00'!$A$1:$AK$41"}</definedName>
    <definedName name="XDF" hidden="1">{"'Quadro'!$A$4:$BG$78"}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yyzz" hidden="1">#REF!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fc" hidden="1">{#N/A,#N/A,TRUE,"INGENIERIA";#N/A,#N/A,TRUE,"COMPRAS";#N/A,#N/A,TRUE,"DIRECCION";#N/A,#N/A,TRUE,"RESUMEN"}</definedName>
    <definedName name="yhgd" hidden="1">{#N/A,#N/A,TRUE,"1842CWN0"}</definedName>
    <definedName name="yjhf" hidden="1">{#N/A,#N/A,TRUE,"1842CWN0"}</definedName>
    <definedName name="yms" hidden="1">{#N/A,#N/A,TRUE,"INGENIERIA";#N/A,#N/A,TRUE,"COMPRAS";#N/A,#N/A,TRUE,"DIRECCION";#N/A,#N/A,TRUE,"RESUMEN"}</definedName>
    <definedName name="YO" hidden="1">{"'Quadro'!$A$4:$BG$78"}</definedName>
    <definedName name="ytjt" hidden="1">{#N/A,#N/A,TRUE,"INGENIERIA";#N/A,#N/A,TRUE,"COMPRAS";#N/A,#N/A,TRUE,"DIRECCION";#N/A,#N/A,TRUE,"RESUMEN"}</definedName>
    <definedName name="yty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e" hidden="1">{#N/A,#N/A,FALSE,"magsep2";#N/A,#N/A,FALSE,"¾"" X ½""";#N/A,#N/A,FALSE,"½"" X ¼""";#N/A,#N/A,FALSE,"¼"" X 8 Mesh";#N/A,#N/A,FALSE,"8 X 14 Mesh"}</definedName>
    <definedName name="yuiy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9F1F36E_B8A3_491C_89C9_D00232BEB8F7_.wvu.FilterData" hidden="1">#REF!</definedName>
    <definedName name="Z_146D92FF_DFCA_47DC_9CF6_0D07F916365B_.wvu.Cols" hidden="1">#REF!,#REF!,#REF!,#REF!</definedName>
    <definedName name="Z_146D92FF_DFCA_47DC_9CF6_0D07F916365B_.wvu.FilterData" hidden="1">#REF!</definedName>
    <definedName name="Z_204280AB_6F29_4C38_B953_40E78BD846F8_.wvu.Cols" hidden="1">#REF!,#REF!,#REF!</definedName>
    <definedName name="Z_204280AB_6F29_4C38_B953_40E78BD846F8_.wvu.FilterData" hidden="1">#REF!</definedName>
    <definedName name="Z_204280AB_6F29_4C38_B953_40E78BD846F8_.wvu.PrintArea" hidden="1">#REF!</definedName>
    <definedName name="Z_204280AB_6F29_4C38_B953_40E78BD846F8_.wvu.PrintTitles" hidden="1">#REF!</definedName>
    <definedName name="Z_51FD69F9_F189_4F5A_9AD9_5ECC2AB6ECB3_.wvu.FilterData" hidden="1">#REF!</definedName>
    <definedName name="Z_51FD69F9_F189_4F5A_9AD9_5ECC2AB6ECB3_.wvu.PrintArea" hidden="1">#REF!</definedName>
    <definedName name="Z_51FD69F9_F189_4F5A_9AD9_5ECC2AB6ECB3_.wvu.PrintTitles" hidden="1">#REF!</definedName>
    <definedName name="Z_56770540_A97A_11D1_870B_00002143DF72_.wvu.Rows" hidden="1">#REF!,#REF!,#REF!,#REF!,#REF!,#REF!,#REF!,#REF!,#REF!,#REF!,#REF!,#REF!,#REF!</definedName>
    <definedName name="Z_67671492_8FB0_4A9C_81AC_AB7AE0D4163D_.wvu.Cols" hidden="1">#REF!</definedName>
    <definedName name="Z_67671492_8FB0_4A9C_81AC_AB7AE0D4163D_.wvu.FilterData" hidden="1">#REF!</definedName>
    <definedName name="Z_67671492_8FB0_4A9C_81AC_AB7AE0D4163D_.wvu.PrintArea" hidden="1">#REF!</definedName>
    <definedName name="Z_67671492_8FB0_4A9C_81AC_AB7AE0D4163D_.wvu.PrintTitles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AE3F8A6_7282_4640_BAE6_7D5F8B45608B_.wvu.Cols" hidden="1">#REF!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  <definedName name="ZD" hidden="1">{"Sin detalle",#N/A,FALSE,"Flujo (redondeado)";"Detallado",#N/A,FALSE,"Flujo (redondeado)"}</definedName>
    <definedName name="ZDA\DS" hidden="1">{"'gráf jan00'!$A$1:$AK$41"}</definedName>
    <definedName name="zgfd" hidden="1">{"'gráf jan00'!$A$1:$AK$41"}</definedName>
    <definedName name="zsa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ㅇㅇㅇ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L47" i="1" s="1"/>
  <c r="H46" i="1"/>
  <c r="H9" i="1"/>
  <c r="F45" i="1" l="1"/>
  <c r="E45" i="1"/>
  <c r="H44" i="1"/>
  <c r="E44" i="1"/>
  <c r="H14" i="1"/>
  <c r="H48" i="1"/>
  <c r="H49" i="1"/>
  <c r="H10" i="1"/>
  <c r="H43" i="1"/>
  <c r="H42" i="1"/>
  <c r="H41" i="1"/>
  <c r="H40" i="1"/>
  <c r="H39" i="1"/>
  <c r="H38" i="1"/>
  <c r="H37" i="1"/>
  <c r="H36" i="1"/>
  <c r="H35" i="1"/>
  <c r="H34" i="1"/>
  <c r="H33" i="1"/>
  <c r="H31" i="1"/>
  <c r="H32" i="1"/>
  <c r="H29" i="1"/>
  <c r="H18" i="1"/>
  <c r="E30" i="1"/>
  <c r="F30" i="1"/>
  <c r="F28" i="1"/>
  <c r="H28" i="1" s="1"/>
  <c r="F27" i="1"/>
  <c r="H27" i="1" s="1"/>
  <c r="F26" i="1"/>
  <c r="H26" i="1" s="1"/>
  <c r="F25" i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7" i="1"/>
  <c r="F16" i="1"/>
  <c r="F15" i="1"/>
  <c r="H13" i="1"/>
  <c r="F12" i="1"/>
  <c r="H12" i="1" s="1"/>
  <c r="H11" i="1"/>
  <c r="H15" i="1" l="1"/>
  <c r="H25" i="1"/>
  <c r="H17" i="1"/>
  <c r="H16" i="1"/>
  <c r="H30" i="1"/>
  <c r="H45" i="1"/>
  <c r="E51" i="1" l="1"/>
  <c r="L49" i="1" l="1"/>
  <c r="L48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H4" i="1"/>
  <c r="L4" i="1" s="1"/>
  <c r="J2" i="1"/>
  <c r="A1" i="1" s="1"/>
  <c r="H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Cristiano Melo Santos</author>
  </authors>
  <commentList>
    <comment ref="H7" authorId="0" shapeId="0" xr:uid="{7EEAA111-471D-4E2E-A60B-817EED2403E7}">
      <text>
        <r>
          <rPr>
            <b/>
            <sz val="8"/>
            <color indexed="9"/>
            <rFont val="Tahoma"/>
            <family val="2"/>
          </rPr>
          <t>PORTUGUÊS: Escolha a moeda do contrato
ENGLISH: Choose contract currency
ESPAÑOL: Elija la moneda del contrato</t>
        </r>
      </text>
    </comment>
  </commentList>
</comments>
</file>

<file path=xl/sharedStrings.xml><?xml version="1.0" encoding="utf-8"?>
<sst xmlns="http://schemas.openxmlformats.org/spreadsheetml/2006/main" count="133" uniqueCount="58">
  <si>
    <t>QUADRO DE QUANTIDADES E PREÇOS (Q.Q.P)</t>
  </si>
  <si>
    <t/>
  </si>
  <si>
    <t>Item</t>
  </si>
  <si>
    <t>Descrição</t>
  </si>
  <si>
    <t>Unidade Medida</t>
  </si>
  <si>
    <t>Quantidade</t>
  </si>
  <si>
    <t>Preço Unitário</t>
  </si>
  <si>
    <t>Valor total (R$)</t>
  </si>
  <si>
    <t>MOBILIZAÇÃO DE PESSOAL E EQUIPAMENTOS</t>
  </si>
  <si>
    <t>vb</t>
  </si>
  <si>
    <t>DESMOBILIZAÇÃO DE PESSOAL E EQUIPAMENTOS</t>
  </si>
  <si>
    <t>CONSTRUÇÃO DE CANTEIRO CENTRAL E/OU AVANÇADO</t>
  </si>
  <si>
    <t>MANUTENÇÃO DE CANTEIRO(S) (EM MESES)</t>
  </si>
  <si>
    <t>vb x mês</t>
  </si>
  <si>
    <t>DESATIVAÇÃO/DESMOBILIZAÇÃO DE CANTEIRO</t>
  </si>
  <si>
    <t>Total</t>
  </si>
  <si>
    <t>Observações / Coments / Comentarios:</t>
  </si>
  <si>
    <t>SE 2704-2025 - Sistema Detector de Gases do Lab Central</t>
  </si>
  <si>
    <t>cj</t>
  </si>
  <si>
    <t>un.</t>
  </si>
  <si>
    <t>m</t>
  </si>
  <si>
    <t>Fornecimento e Montagem de Painel com fonte 24Vdc para alimentação dos sensores e acopladores, conforme FD-8955PZ-J-00032 - LQPDC01/PVPDC01/PVPDC02/LMPDC06/LMPDC04</t>
  </si>
  <si>
    <t>Fornecimento e Montagem de Quadro de Distribuição, Classe de Tensão 0,6/1kV, 10A, conforme FD-8955PZ-E-00035 e o unifilar 8955PZ-E-11182</t>
  </si>
  <si>
    <t>Fornecimento e Montagem de Quadro de Distribuição, Classe de Tensão 0,6/1kV, 140A, conforme FD-8955PZ-E-00036 e diagrama EF-8955PZ-E-01937</t>
  </si>
  <si>
    <t>Fonecimento e Montagem de Equipamento de Comunicação - Roteador, Switch, Bridge, Conversor de Mídia, Modem Ótico, Repetidor, Rádio e Outros (incluindo Módulos de Conversão de Sinal, Sirenes Optico Acústicas, Módulo de Intertravamento e Módulos de Acionamento - conforme FD-8955PZ-J-00032)</t>
  </si>
  <si>
    <t>Fornecimento e Montagem de Cartão de saida digital  1756-OW16I(16 pontos) na remota 0PVPRP06, conforme FD-8955PZ-J-00038</t>
  </si>
  <si>
    <t>Fornecimento e Montagem de Cartão de entrada analógica  1756-IB16I (16 pontos cada) na remota 0PVPRP06, conforme FD-8955PZ-J-00038</t>
  </si>
  <si>
    <t>Fornecimento e Montagem de Mini disjuntor, bipolar, 10kA, curva C, corrente nominal: 2A.</t>
  </si>
  <si>
    <t>Fornecimento e Montagem de Bloco terminal para cartões de I/O ControlLogix padrão de 36 pinos, fixado com parafuso / sob pressão.</t>
  </si>
  <si>
    <t>Fornecimento e Montagem de Jumper para reposição de RTB 17 pinos.</t>
  </si>
  <si>
    <t>Fornecimento e Montagem de Borne fusível, UT 4-HESI, cor preto, para fusível 5 x 20 mm, sem led de indicação, conexão a parafuso para cabo até 4mm².</t>
  </si>
  <si>
    <t>Fornecimento e Montagem de Fusível de Vidro, 0,1A, 5x20 mm.</t>
  </si>
  <si>
    <t>Fornecimento e Montagem de Borne parafuso cinza, 2,5mm, 24A, 800Vac/Vcc.</t>
  </si>
  <si>
    <t>Fornecimento e Montagem de Jumper plugável, passo: 6,2 mm, número de polos: 10, cor: vermelho, FBS 10-6.</t>
  </si>
  <si>
    <t>Fornecimento e Montagem de Borne terra, quantidade de conexões: 2, conexão a parafuso, Bitola: 2,5 mm2, perfil de conexão: 0,14 mm2 - 4 mm2, tipo de montagem: NS 35/7,5, NS 35/15, cor: verde-amarelo</t>
  </si>
  <si>
    <t>Fornecimento e Montagem de Borne relé auxiliar com protetor de surto, terminal parafuso, linha 700-HL, 250/300V, 1A, bobina: 120Vca/125Vcc, com 1NAF.</t>
  </si>
  <si>
    <t>Fornecimento e Montagem de Transmissor de pressão conforme FD-8955PZ-J-00036</t>
  </si>
  <si>
    <t>Fornecimento de Cilindros de gases para a realização de testes nos detectores em comissionamento.
Gases CO/H2/CH4/O2/GLP/C2H2</t>
  </si>
  <si>
    <t>Fornecimento e Montagem de Detectores de gases, conforme FD-8955PZ-J-00034 (incluindo Religação dos detectores que serão realocados da Central Crowcon (Descomissionada) para a nova Central de F&amp;G)</t>
  </si>
  <si>
    <t>Fornecimento e Montagem de Válvula solenoide- Ø 1,2", conforme FD-8955PZ-J-00037</t>
  </si>
  <si>
    <t>Fornecimento e Montagem de Eletrodutos rígidos, em aço galv., c/acessórios, ø 1", cor vermelha, antichamas</t>
  </si>
  <si>
    <t>Fornecimento e Montagem de Eletrodutos rígidos, em aço galv., c/acessórios, ø 1.1/2",</t>
  </si>
  <si>
    <t>Fornecimento e Montagem de Eletrodutos rígidos, em aço galv., c/acessórios, ø 2", peça de 3m</t>
  </si>
  <si>
    <t>Fornecimento e Lançamento de Cabo com isolação extrudada de PVC e cobertura em PVC - Bipolar - Classe de Tensão 0,6/1kV - Seção 2 X 1,5 mm2</t>
  </si>
  <si>
    <t>Fornecimento e Lançamento de Cabo com isolação em EPR e cobertura em EPR - Tripolar - Classe de Tensão 0,6/1kV - Seção 3 x 2,5 mm2</t>
  </si>
  <si>
    <t>Fornecimento e Lançamento de Cabo com isolação em EPR e cobertura em EPR - Tripolar - Classe de Tensão 0,6/1kV - Seção 3 x 6 mm2</t>
  </si>
  <si>
    <t>Fornecimento e Lançamento de Cabo de instrumentação, condutores de cobre nu, blindagem total, encordoamento classe 2, isolação em PVC antichama, temperatura de serviço 70ºC, 300/600V, condutores numerados - Seção 2 x 1,00mm2</t>
  </si>
  <si>
    <t>Fornecimento e Lançamento de Cabo Do laço, série 8760, 2 núcleos, 0,75 mm², blindado, 18 AWG, fabricante: belden</t>
  </si>
  <si>
    <t>Fornecimento e Lançamento de Cabo de controle, condutores de cobre nú, sem blindagem, encordoamento classe 5, isolação em PVC antichama, temperatura de serviço 70ºC, 0,6/1kV, condutores numerados - Seção 5 x 1,5mm2</t>
  </si>
  <si>
    <t>Fornecimento e Lançamento de Cabo UTP para rede de comunicação de dados, condutor de cobre isolado em polietileno com COBERTURA de PVC, 4 pares # 23 AWG, Cat 6</t>
  </si>
  <si>
    <t>Desmontagem do QDAR1 será substituído por um novo painel de ar-condicionado</t>
  </si>
  <si>
    <t>Desmontagem do Sistema F&amp;G existente - Painel Crowcon
- Desmontagem da Central Existente - Painel Crowcon
- Retirada do cabo do laço dos detectores existentes</t>
  </si>
  <si>
    <t>ENGENHARIA DETALHADA E AS-BUILT</t>
  </si>
  <si>
    <t>Aquisição de licença para Software Verifire Tools para configuração da nova Central de F&amp;G</t>
  </si>
  <si>
    <t>Serviços de desenvolvimento de programação, configuração e parametrização do sistema de detecção de gases, bem como a elaboração de telas d supervisório</t>
  </si>
  <si>
    <t>SUPERVISÃO DE MONTAGEM, COMISSIONAMENTO, TESTES E START UP</t>
  </si>
  <si>
    <t>ACOMPANHAMENTO DO RAMP UP</t>
  </si>
  <si>
    <t>ITENS 36 E 37- Considerado como OPEX (Custeio)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</si>
</sst>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0"/>
      <name val="Arial Narrow"/>
      <family val="2"/>
    </font>
    <font>
      <sz val="10"/>
      <name val="Arial Narrow"/>
      <family val="2"/>
    </font>
    <font>
      <b/>
      <sz val="10"/>
      <color rgb="FF006666"/>
      <name val="Arial Narrow"/>
      <family val="2"/>
    </font>
    <font>
      <b/>
      <sz val="10"/>
      <name val="Arial Narrow"/>
      <family val="2"/>
    </font>
    <font>
      <sz val="10"/>
      <name val="Times New Roman"/>
      <family val="1"/>
    </font>
    <font>
      <sz val="10"/>
      <color rgb="FFFF0000"/>
      <name val="Arial Narrow"/>
      <family val="2"/>
    </font>
    <font>
      <b/>
      <sz val="8"/>
      <color indexed="9"/>
      <name val="Tahoma"/>
      <family val="2"/>
    </font>
    <font>
      <sz val="10"/>
      <color theme="1"/>
      <name val="Arial Narrow"/>
      <family val="2"/>
    </font>
    <font>
      <sz val="10"/>
      <color rgb="FFC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</cellStyleXfs>
  <cellXfs count="68">
    <xf numFmtId="0" fontId="0" fillId="0" borderId="0" xfId="0"/>
    <xf numFmtId="0" fontId="4" fillId="0" borderId="0" xfId="1" applyFont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4" fontId="5" fillId="0" borderId="0" xfId="1" applyNumberFormat="1" applyFont="1" applyAlignment="1" applyProtection="1">
      <alignment horizontal="center"/>
      <protection locked="0"/>
    </xf>
    <xf numFmtId="0" fontId="5" fillId="0" borderId="2" xfId="1" applyFont="1" applyBorder="1" applyAlignment="1" applyProtection="1">
      <alignment horizontal="center"/>
      <protection locked="0"/>
    </xf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/>
    </xf>
    <xf numFmtId="1" fontId="5" fillId="0" borderId="3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vertical="center" wrapText="1"/>
    </xf>
    <xf numFmtId="49" fontId="5" fillId="0" borderId="3" xfId="1" applyNumberFormat="1" applyFont="1" applyBorder="1" applyAlignment="1">
      <alignment horizontal="center" vertical="center"/>
    </xf>
    <xf numFmtId="4" fontId="5" fillId="0" borderId="3" xfId="1" applyNumberFormat="1" applyFont="1" applyBorder="1" applyAlignment="1">
      <alignment horizontal="right" vertical="center"/>
    </xf>
    <xf numFmtId="44" fontId="5" fillId="0" borderId="3" xfId="1" applyNumberFormat="1" applyFont="1" applyBorder="1" applyAlignment="1">
      <alignment horizontal="right" vertical="center"/>
    </xf>
    <xf numFmtId="4" fontId="5" fillId="2" borderId="3" xfId="1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center"/>
    </xf>
    <xf numFmtId="4" fontId="5" fillId="0" borderId="0" xfId="1" applyNumberFormat="1" applyFont="1" applyAlignment="1">
      <alignment horizontal="center"/>
    </xf>
    <xf numFmtId="0" fontId="5" fillId="0" borderId="0" xfId="1" applyFont="1" applyAlignment="1" applyProtection="1">
      <alignment horizontal="center" vertical="center"/>
      <protection locked="0"/>
    </xf>
    <xf numFmtId="44" fontId="5" fillId="0" borderId="0" xfId="1" applyNumberFormat="1" applyFont="1" applyAlignment="1" applyProtection="1">
      <alignment horizontal="center" vertical="center"/>
      <protection locked="0"/>
    </xf>
    <xf numFmtId="164" fontId="5" fillId="3" borderId="0" xfId="1" applyNumberFormat="1" applyFont="1" applyFill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1" fontId="5" fillId="0" borderId="4" xfId="1" applyNumberFormat="1" applyFont="1" applyBorder="1" applyAlignment="1" applyProtection="1">
      <alignment horizontal="center" vertical="center"/>
      <protection locked="0"/>
    </xf>
    <xf numFmtId="49" fontId="7" fillId="0" borderId="4" xfId="2" applyNumberFormat="1" applyFont="1" applyBorder="1" applyAlignment="1" applyProtection="1">
      <alignment horizontal="center" vertical="center" wrapText="1"/>
      <protection locked="0"/>
    </xf>
    <xf numFmtId="49" fontId="5" fillId="0" borderId="4" xfId="1" applyNumberFormat="1" applyFont="1" applyBorder="1" applyAlignment="1" applyProtection="1">
      <alignment horizontal="center" vertical="center"/>
      <protection locked="0"/>
    </xf>
    <xf numFmtId="4" fontId="5" fillId="0" borderId="4" xfId="1" applyNumberFormat="1" applyFont="1" applyBorder="1" applyAlignment="1" applyProtection="1">
      <alignment horizontal="center" vertical="center"/>
      <protection locked="0"/>
    </xf>
    <xf numFmtId="44" fontId="5" fillId="0" borderId="4" xfId="1" applyNumberFormat="1" applyFont="1" applyBorder="1" applyAlignment="1" applyProtection="1">
      <alignment horizontal="center" vertical="center"/>
      <protection locked="0"/>
    </xf>
    <xf numFmtId="4" fontId="5" fillId="2" borderId="4" xfId="1" applyNumberFormat="1" applyFont="1" applyFill="1" applyBorder="1" applyAlignment="1" applyProtection="1">
      <alignment horizontal="right" vertical="center"/>
      <protection locked="0"/>
    </xf>
    <xf numFmtId="4" fontId="5" fillId="0" borderId="0" xfId="1" applyNumberFormat="1" applyFont="1" applyAlignment="1" applyProtection="1">
      <alignment horizontal="center"/>
      <protection locked="0"/>
    </xf>
    <xf numFmtId="1" fontId="5" fillId="0" borderId="3" xfId="1" applyNumberFormat="1" applyFont="1" applyBorder="1" applyAlignment="1" applyProtection="1">
      <alignment horizontal="center" vertical="center"/>
      <protection locked="0"/>
    </xf>
    <xf numFmtId="1" fontId="5" fillId="0" borderId="3" xfId="3" applyNumberFormat="1" applyFont="1" applyBorder="1" applyAlignment="1">
      <alignment horizontal="left" vertical="center" wrapText="1"/>
    </xf>
    <xf numFmtId="0" fontId="5" fillId="0" borderId="3" xfId="3" applyFont="1" applyBorder="1" applyAlignment="1">
      <alignment horizontal="center" vertical="center"/>
    </xf>
    <xf numFmtId="4" fontId="5" fillId="0" borderId="3" xfId="1" applyNumberFormat="1" applyFont="1" applyBorder="1" applyAlignment="1" applyProtection="1">
      <alignment horizontal="center" vertical="center"/>
      <protection locked="0"/>
    </xf>
    <xf numFmtId="44" fontId="5" fillId="0" borderId="3" xfId="4" applyNumberFormat="1" applyFont="1" applyBorder="1" applyAlignment="1" applyProtection="1">
      <alignment horizontal="center" vertical="center"/>
      <protection locked="0"/>
    </xf>
    <xf numFmtId="44" fontId="5" fillId="2" borderId="4" xfId="1" applyNumberFormat="1" applyFont="1" applyFill="1" applyBorder="1" applyAlignment="1" applyProtection="1">
      <alignment horizontal="right" vertical="center"/>
      <protection locked="0"/>
    </xf>
    <xf numFmtId="4" fontId="5" fillId="0" borderId="3" xfId="1" applyNumberFormat="1" applyFont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0" fontId="7" fillId="0" borderId="5" xfId="1" applyFont="1" applyBorder="1" applyAlignment="1" applyProtection="1">
      <alignment vertical="center"/>
      <protection locked="0"/>
    </xf>
    <xf numFmtId="44" fontId="7" fillId="0" borderId="6" xfId="1" applyNumberFormat="1" applyFont="1" applyBorder="1" applyAlignment="1" applyProtection="1">
      <alignment vertical="center"/>
      <protection locked="0"/>
    </xf>
    <xf numFmtId="44" fontId="7" fillId="2" borderId="4" xfId="1" applyNumberFormat="1" applyFont="1" applyFill="1" applyBorder="1" applyAlignment="1" applyProtection="1">
      <alignment horizontal="right" vertical="center"/>
      <protection locked="0"/>
    </xf>
    <xf numFmtId="0" fontId="5" fillId="0" borderId="0" xfId="1" applyFont="1" applyAlignment="1" applyProtection="1">
      <alignment horizontal="left"/>
      <protection locked="0"/>
    </xf>
    <xf numFmtId="0" fontId="5" fillId="0" borderId="0" xfId="1" applyFont="1" applyAlignment="1" applyProtection="1">
      <alignment horizontal="center" wrapText="1"/>
      <protection locked="0"/>
    </xf>
    <xf numFmtId="0" fontId="5" fillId="0" borderId="0" xfId="1" applyFont="1" applyAlignment="1" applyProtection="1">
      <alignment wrapText="1"/>
      <protection locked="0"/>
    </xf>
    <xf numFmtId="44" fontId="5" fillId="0" borderId="0" xfId="1" applyNumberFormat="1" applyFont="1" applyAlignment="1" applyProtection="1">
      <alignment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9" fillId="4" borderId="7" xfId="1" quotePrefix="1" applyFont="1" applyFill="1" applyBorder="1" applyAlignment="1" applyProtection="1">
      <alignment horizontal="left" wrapText="1" indent="1"/>
      <protection locked="0"/>
    </xf>
    <xf numFmtId="0" fontId="9" fillId="4" borderId="8" xfId="1" quotePrefix="1" applyFont="1" applyFill="1" applyBorder="1" applyAlignment="1" applyProtection="1">
      <alignment horizontal="left" wrapText="1" indent="1"/>
      <protection locked="0"/>
    </xf>
    <xf numFmtId="0" fontId="9" fillId="4" borderId="9" xfId="1" quotePrefix="1" applyFont="1" applyFill="1" applyBorder="1" applyAlignment="1" applyProtection="1">
      <alignment horizontal="left" wrapText="1" indent="1"/>
      <protection locked="0"/>
    </xf>
    <xf numFmtId="2" fontId="5" fillId="0" borderId="3" xfId="3" applyNumberFormat="1" applyFont="1" applyBorder="1" applyAlignment="1">
      <alignment horizontal="center" vertical="center"/>
    </xf>
    <xf numFmtId="165" fontId="3" fillId="0" borderId="3" xfId="5" applyNumberFormat="1" applyFont="1" applyBorder="1" applyAlignment="1">
      <alignment horizontal="left" vertical="center" wrapText="1"/>
    </xf>
    <xf numFmtId="0" fontId="3" fillId="0" borderId="3" xfId="3" applyFont="1" applyBorder="1" applyAlignment="1" applyProtection="1">
      <alignment horizontal="center" vertical="center"/>
      <protection locked="0"/>
    </xf>
    <xf numFmtId="2" fontId="3" fillId="0" borderId="3" xfId="6" applyNumberFormat="1" applyFont="1" applyFill="1" applyBorder="1" applyAlignment="1">
      <alignment horizontal="center" vertical="center"/>
    </xf>
    <xf numFmtId="0" fontId="3" fillId="0" borderId="3" xfId="5" applyFont="1" applyBorder="1" applyAlignment="1" applyProtection="1">
      <alignment horizontal="center" vertical="center"/>
      <protection locked="0"/>
    </xf>
    <xf numFmtId="165" fontId="3" fillId="0" borderId="3" xfId="5" quotePrefix="1" applyNumberFormat="1" applyFont="1" applyBorder="1" applyAlignment="1">
      <alignment horizontal="left" vertical="center" wrapText="1"/>
    </xf>
    <xf numFmtId="2" fontId="3" fillId="3" borderId="3" xfId="6" applyNumberFormat="1" applyFont="1" applyFill="1" applyBorder="1" applyAlignment="1">
      <alignment horizontal="center" vertical="center"/>
    </xf>
    <xf numFmtId="0" fontId="3" fillId="0" borderId="3" xfId="5" quotePrefix="1" applyFont="1" applyBorder="1" applyAlignment="1" applyProtection="1">
      <alignment horizontal="center" vertical="center"/>
      <protection locked="0"/>
    </xf>
    <xf numFmtId="0" fontId="3" fillId="3" borderId="3" xfId="7" applyFont="1" applyFill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0" xfId="1" applyFont="1" applyAlignment="1" applyProtection="1">
      <alignment horizontal="center"/>
      <protection locked="0"/>
    </xf>
    <xf numFmtId="4" fontId="11" fillId="0" borderId="0" xfId="1" applyNumberFormat="1" applyFont="1" applyAlignment="1" applyProtection="1">
      <alignment horizontal="center"/>
      <protection locked="0"/>
    </xf>
    <xf numFmtId="44" fontId="7" fillId="0" borderId="5" xfId="1" applyNumberFormat="1" applyFont="1" applyBorder="1" applyAlignment="1" applyProtection="1">
      <alignment vertical="center"/>
      <protection locked="0"/>
    </xf>
    <xf numFmtId="1" fontId="12" fillId="0" borderId="3" xfId="1" applyNumberFormat="1" applyFont="1" applyBorder="1" applyAlignment="1" applyProtection="1">
      <alignment horizontal="center" vertical="center"/>
      <protection locked="0"/>
    </xf>
    <xf numFmtId="1" fontId="12" fillId="0" borderId="3" xfId="3" applyNumberFormat="1" applyFont="1" applyBorder="1" applyAlignment="1">
      <alignment horizontal="left" vertical="center" wrapText="1"/>
    </xf>
    <xf numFmtId="0" fontId="12" fillId="0" borderId="3" xfId="3" applyFont="1" applyBorder="1" applyAlignment="1">
      <alignment horizontal="center" vertical="center"/>
    </xf>
    <xf numFmtId="4" fontId="12" fillId="0" borderId="3" xfId="1" applyNumberFormat="1" applyFont="1" applyBorder="1" applyAlignment="1">
      <alignment horizontal="center" vertical="center"/>
    </xf>
    <xf numFmtId="44" fontId="12" fillId="0" borderId="3" xfId="4" applyNumberFormat="1" applyFont="1" applyBorder="1" applyAlignment="1" applyProtection="1">
      <alignment horizontal="center" vertical="center"/>
      <protection locked="0"/>
    </xf>
    <xf numFmtId="44" fontId="12" fillId="2" borderId="4" xfId="1" applyNumberFormat="1" applyFont="1" applyFill="1" applyBorder="1" applyAlignment="1" applyProtection="1">
      <alignment horizontal="right" vertical="center"/>
      <protection locked="0"/>
    </xf>
  </cellXfs>
  <cellStyles count="8">
    <cellStyle name="Normal" xfId="0" builtinId="0"/>
    <cellStyle name="Normal 10" xfId="3" xr:uid="{13036160-CF4F-4A63-AEDA-25C85E20BB1A}"/>
    <cellStyle name="Normal 2 2 2 3" xfId="5" xr:uid="{F5733D79-0725-4455-8934-00BEBECB96E3}"/>
    <cellStyle name="Normal 3" xfId="7" xr:uid="{E30769C9-A167-4E81-BB86-FED65C7ADDE1}"/>
    <cellStyle name="Normal 6" xfId="2" xr:uid="{F618AB40-9C4E-4DCD-80FB-E5404C1641E7}"/>
    <cellStyle name="Normal 6 3" xfId="1" xr:uid="{046AA3EC-BF2C-4EEB-AFE2-4BC78DA771EA}"/>
    <cellStyle name="Vírgula 2" xfId="6" xr:uid="{348558AD-F6C2-42C2-AE68-1F548FDE6BCA}"/>
    <cellStyle name="Vírgula 9" xfId="4" xr:uid="{71500E3D-E96C-40FC-B782-F72D8C806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</xdr:row>
      <xdr:rowOff>161925</xdr:rowOff>
    </xdr:from>
    <xdr:to>
      <xdr:col>3</xdr:col>
      <xdr:colOff>438150</xdr:colOff>
      <xdr:row>2</xdr:row>
      <xdr:rowOff>363855</xdr:rowOff>
    </xdr:to>
    <xdr:pic>
      <xdr:nvPicPr>
        <xdr:cNvPr id="2" name="Imagem 8">
          <a:extLst>
            <a:ext uri="{FF2B5EF4-FFF2-40B4-BE49-F238E27FC236}">
              <a16:creationId xmlns:a16="http://schemas.microsoft.com/office/drawing/2014/main" id="{9D2CCA3D-BCC9-4381-85F6-6284DFEF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" y="337185"/>
          <a:ext cx="939165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4</xdr:row>
          <xdr:rowOff>47625</xdr:rowOff>
        </xdr:from>
        <xdr:to>
          <xdr:col>3</xdr:col>
          <xdr:colOff>1266825</xdr:colOff>
          <xdr:row>5</xdr:row>
          <xdr:rowOff>47625</xdr:rowOff>
        </xdr:to>
        <xdr:sp macro="" textlink="">
          <xdr:nvSpPr>
            <xdr:cNvPr id="1025" name="Button 3" descr="Adicionar linha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Adicionar Linhas | Add Lines</a:t>
              </a:r>
            </a:p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Agregar Líneas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1323975</xdr:colOff>
          <xdr:row>4</xdr:row>
          <xdr:rowOff>47625</xdr:rowOff>
        </xdr:from>
        <xdr:to>
          <xdr:col>4</xdr:col>
          <xdr:colOff>428625</xdr:colOff>
          <xdr:row>5</xdr:row>
          <xdr:rowOff>47625</xdr:rowOff>
        </xdr:to>
        <xdr:sp macro="" textlink="">
          <xdr:nvSpPr>
            <xdr:cNvPr id="1026" name="Button 4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Remover Linhas Selecionadas | Remove Selected Lines</a:t>
              </a:r>
            </a:p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Eliminar Líneas Seleccionadas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</xdr:col>
      <xdr:colOff>0</xdr:colOff>
      <xdr:row>54</xdr:row>
      <xdr:rowOff>121920</xdr:rowOff>
    </xdr:from>
    <xdr:to>
      <xdr:col>7</xdr:col>
      <xdr:colOff>617220</xdr:colOff>
      <xdr:row>59</xdr:row>
      <xdr:rowOff>22860</xdr:rowOff>
    </xdr:to>
    <xdr:sp macro="" textlink="">
      <xdr:nvSpPr>
        <xdr:cNvPr id="3" name="Label1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D0E3DA54-80E0-4CD1-87C8-D81B497DDF5A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 editAs="oneCell">
    <xdr:from>
      <xdr:col>7</xdr:col>
      <xdr:colOff>388620</xdr:colOff>
      <xdr:row>0</xdr:row>
      <xdr:rowOff>0</xdr:rowOff>
    </xdr:from>
    <xdr:to>
      <xdr:col>9</xdr:col>
      <xdr:colOff>0</xdr:colOff>
      <xdr:row>1</xdr:row>
      <xdr:rowOff>60960</xdr:rowOff>
    </xdr:to>
    <xdr:sp macro="" textlink="">
      <xdr:nvSpPr>
        <xdr:cNvPr id="4" name="OptionButton1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14D848C1-F2C7-4A1F-B75E-B7EC302C0A94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388620</xdr:colOff>
      <xdr:row>1</xdr:row>
      <xdr:rowOff>99060</xdr:rowOff>
    </xdr:from>
    <xdr:to>
      <xdr:col>9</xdr:col>
      <xdr:colOff>0</xdr:colOff>
      <xdr:row>2</xdr:row>
      <xdr:rowOff>160020</xdr:rowOff>
    </xdr:to>
    <xdr:sp macro="" textlink="">
      <xdr:nvSpPr>
        <xdr:cNvPr id="5" name="OptionButton2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78DBED1C-8B5F-456F-94B9-23221F5996EC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388620</xdr:colOff>
      <xdr:row>2</xdr:row>
      <xdr:rowOff>160020</xdr:rowOff>
    </xdr:from>
    <xdr:to>
      <xdr:col>9</xdr:col>
      <xdr:colOff>0</xdr:colOff>
      <xdr:row>2</xdr:row>
      <xdr:rowOff>403860</xdr:rowOff>
    </xdr:to>
    <xdr:sp macro="" textlink="">
      <xdr:nvSpPr>
        <xdr:cNvPr id="6" name="OptionButton3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1326698E-30CF-4A55-9F21-05DF7A242C44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152400</xdr:rowOff>
    </xdr:from>
    <xdr:to>
      <xdr:col>7</xdr:col>
      <xdr:colOff>771525</xdr:colOff>
      <xdr:row>59</xdr:row>
      <xdr:rowOff>28575</xdr:rowOff>
    </xdr:to>
    <xdr:pic>
      <xdr:nvPicPr>
        <xdr:cNvPr id="1027" name="Label1">
          <a:extLst>
            <a:ext uri="{FF2B5EF4-FFF2-40B4-BE49-F238E27FC236}">
              <a16:creationId xmlns:a16="http://schemas.microsoft.com/office/drawing/2014/main" id="{7908BE67-29AF-DEE7-8615-6C4B06E8F9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603825"/>
          <a:ext cx="9572625" cy="6858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 fPrintsWithSheet="0"/>
  </xdr:twoCellAnchor>
  <xdr:twoCellAnchor editAs="oneCell">
    <xdr:from>
      <xdr:col>7</xdr:col>
      <xdr:colOff>485775</xdr:colOff>
      <xdr:row>0</xdr:row>
      <xdr:rowOff>0</xdr:rowOff>
    </xdr:from>
    <xdr:to>
      <xdr:col>9</xdr:col>
      <xdr:colOff>0</xdr:colOff>
      <xdr:row>1</xdr:row>
      <xdr:rowOff>76200</xdr:rowOff>
    </xdr:to>
    <xdr:pic>
      <xdr:nvPicPr>
        <xdr:cNvPr id="1028" name="OptionButton1">
          <a:extLst>
            <a:ext uri="{FF2B5EF4-FFF2-40B4-BE49-F238E27FC236}">
              <a16:creationId xmlns:a16="http://schemas.microsoft.com/office/drawing/2014/main" id="{6CF3882E-F1C7-2312-4281-F36B044970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0"/>
          <a:ext cx="895350" cy="2381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485775</xdr:colOff>
      <xdr:row>1</xdr:row>
      <xdr:rowOff>123825</xdr:rowOff>
    </xdr:from>
    <xdr:to>
      <xdr:col>9</xdr:col>
      <xdr:colOff>0</xdr:colOff>
      <xdr:row>2</xdr:row>
      <xdr:rowOff>200025</xdr:rowOff>
    </xdr:to>
    <xdr:pic>
      <xdr:nvPicPr>
        <xdr:cNvPr id="1029" name="OptionButton2">
          <a:extLst>
            <a:ext uri="{FF2B5EF4-FFF2-40B4-BE49-F238E27FC236}">
              <a16:creationId xmlns:a16="http://schemas.microsoft.com/office/drawing/2014/main" id="{8275B0A4-F30C-647A-5EA9-1B0E070F1A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85750"/>
          <a:ext cx="895350" cy="2476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485775</xdr:colOff>
      <xdr:row>2</xdr:row>
      <xdr:rowOff>200025</xdr:rowOff>
    </xdr:from>
    <xdr:to>
      <xdr:col>9</xdr:col>
      <xdr:colOff>0</xdr:colOff>
      <xdr:row>3</xdr:row>
      <xdr:rowOff>0</xdr:rowOff>
    </xdr:to>
    <xdr:pic>
      <xdr:nvPicPr>
        <xdr:cNvPr id="1030" name="OptionButton3">
          <a:extLst>
            <a:ext uri="{FF2B5EF4-FFF2-40B4-BE49-F238E27FC236}">
              <a16:creationId xmlns:a16="http://schemas.microsoft.com/office/drawing/2014/main" id="{5FB80C86-ACEA-2A6A-FD09-A7C59F97F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33400"/>
          <a:ext cx="895350" cy="2762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lobalvale.sharepoint.com/teams/InvCorrPelot_Capex/Documentos%20Compartilhados/CAPEX/01-CAPEX/SE%200274B-2020%20-%20Sistema%20Lubrifica&#231;&#227;o%20dos%20Discos%20Us.%207/3.%20FEL%2003/3.2.%20DESENVOLVIMENTO/3.2.3.%20CAPEX/MC%20CapEx%20SE%200274B-2020-%20Sistema%20Lubrifica&#231;&#227;o%20dos%20Discos%20Us.%207_02.04.26.xlsx" TargetMode="External"/><Relationship Id="rId2" Type="http://schemas.microsoft.com/office/2019/04/relationships/externalLinkLongPath" Target="https://globalvale.sharepoint.com/teams/InvCorrPelot_Capex/Documentos%20Compartilhados/CAPEX/01-CAPEX/SE%200274B-2020%20-%20Sistema%20Lubrifica&#231;&#227;o%20dos%20Discos%20Us.%207/3.%20FEL%2003/3.2.%20DESENVOLVIMENTO/3.2.3.%20CAPEX/MC%20CapEx%20SE%200274B-2020-%20Sistema%20Lubrifica&#231;&#227;o%20dos%20Discos%20Us.%207_02.04.26.xlsx?29446E53" TargetMode="External"/><Relationship Id="rId1" Type="http://schemas.openxmlformats.org/officeDocument/2006/relationships/externalLinkPath" Target="file:///\\29446E53\MC%20CapEx%20SE%200274B-2020-%20Sistema%20Lubrifica&#231;&#227;o%20dos%20Discos%20Us.%207_02.04.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lobalvale.sharepoint.com/sites/PMO243/Shared%20Documents/05_Gest&#227;o_Or&#231;amento/01-CAPEX/SE%200274A-2020-%20Sistema%20Lubrifica&#231;&#227;o%20dos%20Discos%20Us.%205%20a%206/3.%20FEL%2003/3.2.%20DESENVOLVIMENTO/3.2.3.%20CAPEX/MC%20CapEx%20SE%200274A-2020-%20Sistema%20Lubrifica&#231;&#227;o%20dos%20Discos%20Us.%205%20a%206.xlsx" TargetMode="External"/><Relationship Id="rId2" Type="http://schemas.microsoft.com/office/2019/04/relationships/externalLinkLongPath" Target="https://globalvale.sharepoint.com/sites/PMO243/Shared%20Documents/05_Gest&#227;o_Or&#231;amento/01-CAPEX/SE%200274A-2020-%20Sistema%20Lubrifica&#231;&#227;o%20dos%20Discos%20Us.%205%20a%206/3.%20FEL%2003/3.2.%20DESENVOLVIMENTO/3.2.3.%20CAPEX/MC%20CapEx%20SE%200274A-2020-%20Sistema%20Lubrifica&#231;&#227;o%20dos%20Discos%20Us.%205%20a%206.xlsx?B154C0AF" TargetMode="External"/><Relationship Id="rId1" Type="http://schemas.openxmlformats.org/officeDocument/2006/relationships/externalLinkPath" Target="file:///\\B154C0AF\MC%20CapEx%20SE%200274A-2020-%20Sistema%20Lubrifica&#231;&#227;o%20dos%20Discos%20Us.%205%20a%20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quivos%20de%20Chat%20do%20Microsoft%20Teams/Capex%20SE%202704-2025%20-%20Detector%20de%20Gases%20do%20Lab%20Central-rev.1_23-12-25%201.xlsx" TargetMode="External"/><Relationship Id="rId2" Type="http://schemas.openxmlformats.org/officeDocument/2006/relationships/externalLinkPath" Target="https://globalvale-my.sharepoint.com/personal/romulo_faria_vale_com/Documents/Arquivos%20de%20Chat%20do%20Microsoft%20Teams/Capex%20SE%202704-2025%20-%20Detector%20de%20Gases%20do%20Lab%20Central-rev.1_23-12-25%201.xlsx" TargetMode="External"/><Relationship Id="rId1" Type="http://schemas.openxmlformats.org/officeDocument/2006/relationships/externalLinkPath" Target="/personal/romulo_faria_vale_com/Documents/Arquivos%20de%20Chat%20do%20Microsoft%20Teams/Capex%20SE%202704-2025%20-%20Detector%20de%20Gases%20do%20Lab%20Central-rev.1_23-12-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. Rosto "/>
      <sheetName val="Capex"/>
      <sheetName val="QQP_CEN.1"/>
      <sheetName val="QQP_CEN.2"/>
      <sheetName val="MC QQP_CEN.1"/>
      <sheetName val="MC QQP_CEN.2"/>
      <sheetName val="MOB+CIVIL"/>
      <sheetName val="ESTRUTURA METÁLICA"/>
      <sheetName val="MECÂNICA"/>
      <sheetName val="TUBULAÇÃO"/>
      <sheetName val="ELÉTRICA"/>
      <sheetName val="AUTOMAÇÃO."/>
      <sheetName val="Checklist- SE-0274B"/>
      <sheetName val="SPE Preços e Indices 2024"/>
      <sheetName val="Premissas"/>
      <sheetName val="Macroplanejamento"/>
      <sheetName val="Histograma"/>
      <sheetName val="Análise QT-HH"/>
      <sheetName val="Build-Up Full"/>
      <sheetName val="MC Andaimes"/>
      <sheetName val="Build-Up"/>
      <sheetName val="Modelo PQ"/>
      <sheetName val="Indices SPE"/>
      <sheetName val="PRODUTIVIDADE"/>
      <sheetName val="Indice Tub"/>
      <sheetName val="BDI-TRIBUTOS Civil"/>
      <sheetName val="BDI-TRIBUTOS Ele-Mec"/>
      <sheetName val="BDI-Fatur.Gestão-Mont."/>
      <sheetName val="CARGA HORARIA UTIL"/>
      <sheetName val="EQUIPE VALE"/>
      <sheetName val="EQUIPE GERENCIADORA"/>
      <sheetName val="MONTAGEM EletMEc"/>
      <sheetName val="MONTAGEM DIA HE"/>
      <sheetName val="MONTAGEM NOTURNA"/>
      <sheetName val="ADM LOCAL_Implantação"/>
      <sheetName val="ADM LOCAL_Testes"/>
      <sheetName val="MOBIL.&amp;DESMOB. CIVIL"/>
      <sheetName val="MC OBRAS CIVIS"/>
      <sheetName val="MOBILIZAÇÃO PESSOAL EQTOS"/>
      <sheetName val="DESMOBILIZAÇÃO PESSOAL EQTOS"/>
      <sheetName val="CONSTR CANTEIRO CENTRAL"/>
      <sheetName val="CONSTR CANTEIRO EXTERNO"/>
      <sheetName val="CONSTR CANTEIRO AVANÇADO"/>
      <sheetName val="MANUT CANTEIRO CENTRAL"/>
      <sheetName val="MANUT CANTEIRO EXTERNO"/>
      <sheetName val="MANUT CANTEIRO AVANÇADO"/>
      <sheetName val="DESATIV CANTEIRO CENTRAL"/>
      <sheetName val="DESATIV CANTEIRO EXTERNO"/>
      <sheetName val="DESATIV CANTEIRO AVANÇADO"/>
      <sheetName val="SR ENG - Automação_Programação"/>
      <sheetName val="SUPERV MONT"/>
      <sheetName val="COMISS-STARTUP"/>
      <sheetName val="OP-ASSIST"/>
      <sheetName val="TREINAMENTO"/>
      <sheetName val="DILIGENCIAMENTO"/>
      <sheetName val="AUTOMAÇÃO"/>
      <sheetName val="DESMONTAGEM "/>
      <sheetName val="PROJETO"/>
      <sheetName val="Exec Pint Ablativa"/>
      <sheetName val="CPU Modelo"/>
      <sheetName val="CPU-MOD"/>
      <sheetName val="CPU-MOI"/>
      <sheetName val="ENCARGOS SOCIAIS"/>
      <sheetName val="Eqptos e ferramentas"/>
    </sheetNames>
    <sheetDataSet>
      <sheetData sheetId="0"/>
      <sheetData sheetId="1"/>
      <sheetData sheetId="2"/>
      <sheetData sheetId="3"/>
      <sheetData sheetId="4">
        <row r="12">
          <cell r="F12">
            <v>11</v>
          </cell>
        </row>
      </sheetData>
      <sheetData sheetId="5">
        <row r="15">
          <cell r="D15" t="str">
            <v>LOCAÇÃO DA OBRA - EXECUÇÃO DE GABARITO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I4">
            <v>1.3936999999999999</v>
          </cell>
        </row>
        <row r="5">
          <cell r="I5">
            <v>0.39369999999999999</v>
          </cell>
        </row>
      </sheetData>
      <sheetData sheetId="26">
        <row r="4">
          <cell r="I4">
            <v>1.5001</v>
          </cell>
        </row>
        <row r="5">
          <cell r="I5">
            <v>0.50009999999999999</v>
          </cell>
        </row>
      </sheetData>
      <sheetData sheetId="27"/>
      <sheetData sheetId="28">
        <row r="28">
          <cell r="A28">
            <v>112.1</v>
          </cell>
        </row>
      </sheetData>
      <sheetData sheetId="29"/>
      <sheetData sheetId="30"/>
      <sheetData sheetId="31">
        <row r="108">
          <cell r="E108">
            <v>232.06</v>
          </cell>
        </row>
        <row r="113">
          <cell r="E113">
            <v>0.08</v>
          </cell>
        </row>
        <row r="114">
          <cell r="E114">
            <v>0.1</v>
          </cell>
        </row>
        <row r="115">
          <cell r="E115">
            <v>0.14000000000000001</v>
          </cell>
        </row>
        <row r="116">
          <cell r="E116">
            <v>0.09</v>
          </cell>
        </row>
        <row r="117">
          <cell r="E117">
            <v>0.08</v>
          </cell>
        </row>
        <row r="118">
          <cell r="E118">
            <v>0.15</v>
          </cell>
        </row>
        <row r="119">
          <cell r="E119">
            <v>0.12</v>
          </cell>
        </row>
        <row r="120">
          <cell r="E120">
            <v>0.16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80">
          <cell r="E80">
            <v>222.61</v>
          </cell>
        </row>
        <row r="81">
          <cell r="E81">
            <v>0.06</v>
          </cell>
        </row>
        <row r="82">
          <cell r="E82">
            <v>0.08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1">
          <cell r="J1" t="str">
            <v>176</v>
          </cell>
          <cell r="K1" t="str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. Rosto "/>
      <sheetName val="Capex"/>
      <sheetName val="QQP_CEN.1"/>
      <sheetName val="QQP_CEN.2"/>
      <sheetName val="MOB+CIVIL"/>
      <sheetName val="ESTRUTURA METÁLICA"/>
      <sheetName val="MECÂNICA"/>
      <sheetName val="TUBULAÇÃO"/>
      <sheetName val="ELÉTRICA"/>
      <sheetName val="AUTOMAÇÃO."/>
      <sheetName val="Checklist- SE-0274A"/>
      <sheetName val="MONTAGEM EletMEc"/>
      <sheetName val="Premissas"/>
      <sheetName val="SPE Preços e Indices 2024"/>
      <sheetName val="Macroplanejamento"/>
      <sheetName val="Histograma"/>
      <sheetName val="Análise QT-HH"/>
      <sheetName val="Build-Up Full"/>
      <sheetName val="MC QQP_CEN.1"/>
      <sheetName val="MC QQP_CEN.2"/>
      <sheetName val="MC Andaimes"/>
      <sheetName val="Build-Up"/>
      <sheetName val="Modelo PQ"/>
      <sheetName val="Indices SPE"/>
      <sheetName val="PRODUTIVIDADE"/>
      <sheetName val="Indice Tub"/>
      <sheetName val="BDI-TRIBUTOS Civil"/>
      <sheetName val="BDI-TRIBUTOS Ele-Mec"/>
      <sheetName val="BDI-Fatur.Gestão-Mont."/>
      <sheetName val="CARGA HORARIA UTIL"/>
      <sheetName val="EQUIPE VALE"/>
      <sheetName val="EQUIPE GERENCIADORA"/>
      <sheetName val="MONTAGEM DIA HE"/>
      <sheetName val="MONTAGEM NOTURNA"/>
      <sheetName val="ADM LOCAL_Implantação"/>
      <sheetName val="ADM LOCAL_Testes"/>
      <sheetName val="MOBIL.&amp;DESMOB. CIVIL"/>
      <sheetName val="MC OBRAS CIVIS"/>
      <sheetName val="MOBILIZAÇÃO PESSOAL EQTOS"/>
      <sheetName val="DESMOBILIZAÇÃO PESSOAL EQTOS"/>
      <sheetName val="CONSTR CANTEIRO CENTRAL"/>
      <sheetName val="CONSTR CANTEIRO EXTERNO"/>
      <sheetName val="CONSTR CANTEIRO AVANÇADO"/>
      <sheetName val="MANUT CANTEIRO CENTRAL"/>
      <sheetName val="MANUT CANTEIRO EXTERNO"/>
      <sheetName val="MANUT CANTEIRO AVANÇADO"/>
      <sheetName val="DESATIV CANTEIRO CENTRAL"/>
      <sheetName val="DESATIV CANTEIRO EXTERNO"/>
      <sheetName val="DESATIV CANTEIRO AVANÇADO"/>
      <sheetName val="SR ENG - Automação_Programação"/>
      <sheetName val="SUPERV MONT"/>
      <sheetName val="COMISS-STARTUP"/>
      <sheetName val="OP-ASSIST"/>
      <sheetName val="TREINAMENTO"/>
      <sheetName val="DILIGENCIAMENTO"/>
      <sheetName val="AUTOMAÇÃO"/>
      <sheetName val="DESMONTAGEM "/>
      <sheetName val="PROJETO"/>
      <sheetName val="Exec Pint Ablativa"/>
      <sheetName val="CPU Modelo"/>
      <sheetName val="CPU-MOD"/>
      <sheetName val="CPU-MOI"/>
      <sheetName val="ENCARGOS SOCIAIS"/>
      <sheetName val="Eqptos e ferram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I4">
            <v>1.1052999999999999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. Rosto"/>
      <sheetName val="CapEx_Express"/>
      <sheetName val="CapEx_Express-sem escalation"/>
      <sheetName val="Checklist"/>
      <sheetName val="QQP_Mont-C1"/>
      <sheetName val="QQP_Mont-C2"/>
      <sheetName val="PQ"/>
    </sheetNames>
    <sheetDataSet>
      <sheetData sheetId="0"/>
      <sheetData sheetId="1"/>
      <sheetData sheetId="2"/>
      <sheetData sheetId="3"/>
      <sheetData sheetId="4">
        <row r="12">
          <cell r="F12">
            <v>5</v>
          </cell>
        </row>
      </sheetData>
      <sheetData sheetId="5"/>
      <sheetData sheetId="6">
        <row r="41">
          <cell r="Q41">
            <v>5</v>
          </cell>
        </row>
        <row r="43">
          <cell r="Q43">
            <v>1</v>
          </cell>
        </row>
        <row r="44">
          <cell r="Q44">
            <v>1</v>
          </cell>
        </row>
        <row r="50">
          <cell r="Q50">
            <v>1</v>
          </cell>
        </row>
        <row r="51">
          <cell r="Q51">
            <v>1</v>
          </cell>
        </row>
        <row r="52">
          <cell r="Q52">
            <v>2</v>
          </cell>
        </row>
        <row r="53">
          <cell r="Q53">
            <v>2</v>
          </cell>
        </row>
        <row r="54">
          <cell r="Q54">
            <v>32</v>
          </cell>
        </row>
        <row r="55">
          <cell r="Q55">
            <v>32</v>
          </cell>
        </row>
        <row r="56">
          <cell r="Q56">
            <v>48</v>
          </cell>
        </row>
        <row r="57">
          <cell r="Q57">
            <v>2</v>
          </cell>
        </row>
        <row r="58">
          <cell r="Q58">
            <v>16</v>
          </cell>
        </row>
        <row r="59">
          <cell r="Q59">
            <v>16</v>
          </cell>
        </row>
        <row r="67">
          <cell r="K67" t="str">
            <v>un.</v>
          </cell>
          <cell r="Q67">
            <v>12</v>
          </cell>
        </row>
        <row r="156">
          <cell r="K156" t="str">
            <v>cj</v>
          </cell>
        </row>
        <row r="157">
          <cell r="K157" t="str">
            <v>cj</v>
          </cell>
          <cell r="Q15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275D-9790-43EF-B8AE-38C1B60021BA}">
  <sheetPr>
    <tabColor theme="8" tint="-0.499984740745262"/>
    <pageSetUpPr fitToPage="1"/>
  </sheetPr>
  <dimension ref="A1:AA61"/>
  <sheetViews>
    <sheetView showGridLines="0" tabSelected="1" zoomScaleNormal="100" workbookViewId="0">
      <selection activeCell="D8" sqref="D8"/>
    </sheetView>
  </sheetViews>
  <sheetFormatPr defaultColWidth="0" defaultRowHeight="12.75" x14ac:dyDescent="0.2"/>
  <cols>
    <col min="1" max="1" width="2.140625" style="3" customWidth="1"/>
    <col min="2" max="2" width="1.28515625" style="2" customWidth="1"/>
    <col min="3" max="3" width="9.140625" style="3" customWidth="1"/>
    <col min="4" max="4" width="72" style="3" customWidth="1"/>
    <col min="5" max="5" width="17" style="3" customWidth="1"/>
    <col min="6" max="6" width="17.140625" style="3" customWidth="1"/>
    <col min="7" max="7" width="16.7109375" style="4" customWidth="1"/>
    <col min="8" max="8" width="19.42578125" style="3" customWidth="1"/>
    <col min="9" max="9" width="1.28515625" style="3" customWidth="1"/>
    <col min="10" max="10" width="1.7109375" style="1" hidden="1" customWidth="1"/>
    <col min="11" max="25" width="12.42578125" style="3" hidden="1" customWidth="1"/>
    <col min="26" max="26" width="146" style="3" hidden="1" customWidth="1"/>
    <col min="27" max="16384" width="12.42578125" style="3" hidden="1"/>
  </cols>
  <sheetData>
    <row r="1" spans="1:27" x14ac:dyDescent="0.2">
      <c r="A1" s="1" t="e">
        <f>J2&gt;0</f>
        <v>#VALUE!</v>
      </c>
    </row>
    <row r="2" spans="1:27" ht="13.5" customHeight="1" x14ac:dyDescent="0.2">
      <c r="J2" s="1" t="e">
        <f>SUM(J8:J9038)</f>
        <v>#VALUE!</v>
      </c>
    </row>
    <row r="3" spans="1:27" ht="37.5" customHeight="1" x14ac:dyDescent="0.2">
      <c r="C3" s="43" t="s">
        <v>0</v>
      </c>
      <c r="D3" s="44"/>
      <c r="E3" s="44"/>
      <c r="F3" s="44"/>
      <c r="G3" s="44"/>
      <c r="H3" s="44"/>
      <c r="I3" s="5"/>
    </row>
    <row r="4" spans="1:27" s="6" customFormat="1" ht="19.5" hidden="1" customHeight="1" x14ac:dyDescent="0.2">
      <c r="B4" s="7"/>
      <c r="C4" s="8"/>
      <c r="D4" s="9"/>
      <c r="E4" s="10"/>
      <c r="F4" s="11"/>
      <c r="G4" s="12"/>
      <c r="H4" s="13">
        <f t="shared" ref="H4" si="0">G4*F4</f>
        <v>0</v>
      </c>
      <c r="J4" s="14" t="e">
        <v>#VALUE!</v>
      </c>
      <c r="L4" s="15">
        <f t="shared" ref="L4" si="1">H4</f>
        <v>0</v>
      </c>
      <c r="AA4" s="6" t="s">
        <v>1</v>
      </c>
    </row>
    <row r="5" spans="1:27" ht="40.5" customHeight="1" x14ac:dyDescent="0.2">
      <c r="C5" s="16"/>
      <c r="D5" s="16"/>
      <c r="E5" s="16"/>
      <c r="F5" s="16"/>
      <c r="G5" s="17"/>
      <c r="H5" s="18"/>
    </row>
    <row r="6" spans="1:27" ht="9" customHeight="1" x14ac:dyDescent="0.2">
      <c r="C6" s="16"/>
      <c r="D6" s="16"/>
      <c r="E6" s="16"/>
      <c r="F6" s="16"/>
      <c r="G6" s="17"/>
      <c r="H6" s="18"/>
    </row>
    <row r="7" spans="1:27" s="16" customFormat="1" ht="15" customHeight="1" x14ac:dyDescent="0.25">
      <c r="B7" s="19"/>
      <c r="C7" s="16" t="s">
        <v>2</v>
      </c>
      <c r="D7" s="16" t="s">
        <v>3</v>
      </c>
      <c r="E7" s="16" t="s">
        <v>4</v>
      </c>
      <c r="F7" s="16" t="s">
        <v>5</v>
      </c>
      <c r="G7" s="17" t="s">
        <v>6</v>
      </c>
      <c r="H7" s="16" t="s">
        <v>7</v>
      </c>
      <c r="J7" s="20"/>
    </row>
    <row r="8" spans="1:27" ht="24" customHeight="1" x14ac:dyDescent="0.2">
      <c r="C8" s="21"/>
      <c r="D8" s="22" t="s">
        <v>17</v>
      </c>
      <c r="E8" s="23"/>
      <c r="F8" s="24"/>
      <c r="G8" s="25"/>
      <c r="H8" s="26"/>
      <c r="J8" s="1" t="e">
        <v>#VALUE!</v>
      </c>
      <c r="L8" s="27">
        <f t="shared" ref="L8:L49" si="2">H8</f>
        <v>0</v>
      </c>
      <c r="AA8" s="3" t="s">
        <v>1</v>
      </c>
    </row>
    <row r="9" spans="1:27" ht="19.5" customHeight="1" x14ac:dyDescent="0.2">
      <c r="C9" s="28">
        <v>1</v>
      </c>
      <c r="D9" s="29" t="s">
        <v>8</v>
      </c>
      <c r="E9" s="30" t="s">
        <v>9</v>
      </c>
      <c r="F9" s="31">
        <v>1</v>
      </c>
      <c r="G9" s="32">
        <v>526643.39</v>
      </c>
      <c r="H9" s="33">
        <f>F9*G9</f>
        <v>526643.39</v>
      </c>
      <c r="J9" s="1" t="e">
        <v>#VALUE!</v>
      </c>
      <c r="L9" s="27">
        <f t="shared" si="2"/>
        <v>526643.39</v>
      </c>
      <c r="AA9" s="3" t="s">
        <v>1</v>
      </c>
    </row>
    <row r="10" spans="1:27" ht="19.5" customHeight="1" x14ac:dyDescent="0.2">
      <c r="C10" s="28">
        <v>2</v>
      </c>
      <c r="D10" s="29" t="s">
        <v>10</v>
      </c>
      <c r="E10" s="30" t="s">
        <v>9</v>
      </c>
      <c r="F10" s="31">
        <v>1</v>
      </c>
      <c r="G10" s="32">
        <v>230892.53</v>
      </c>
      <c r="H10" s="33">
        <f>F10*G10</f>
        <v>230892.53</v>
      </c>
      <c r="L10" s="27">
        <f t="shared" si="2"/>
        <v>230892.53</v>
      </c>
      <c r="AA10" s="3" t="s">
        <v>1</v>
      </c>
    </row>
    <row r="11" spans="1:27" s="6" customFormat="1" ht="19.5" customHeight="1" x14ac:dyDescent="0.2">
      <c r="B11" s="7"/>
      <c r="C11" s="28">
        <v>3</v>
      </c>
      <c r="D11" s="29" t="s">
        <v>11</v>
      </c>
      <c r="E11" s="30" t="s">
        <v>9</v>
      </c>
      <c r="F11" s="34">
        <v>1</v>
      </c>
      <c r="G11" s="32">
        <v>385227.62</v>
      </c>
      <c r="H11" s="33">
        <f t="shared" ref="H11:H49" si="3">F11*G11</f>
        <v>385227.62</v>
      </c>
      <c r="I11" s="3"/>
      <c r="J11" s="14" t="e">
        <v>#VALUE!</v>
      </c>
      <c r="L11" s="27">
        <f t="shared" si="2"/>
        <v>385227.62</v>
      </c>
      <c r="AA11" s="3" t="s">
        <v>1</v>
      </c>
    </row>
    <row r="12" spans="1:27" s="6" customFormat="1" ht="19.5" customHeight="1" x14ac:dyDescent="0.2">
      <c r="B12" s="7"/>
      <c r="C12" s="28">
        <v>4</v>
      </c>
      <c r="D12" s="29" t="s">
        <v>12</v>
      </c>
      <c r="E12" s="30" t="s">
        <v>13</v>
      </c>
      <c r="F12" s="35">
        <f>'[3]QQP_Mont-C1'!$F$12</f>
        <v>5</v>
      </c>
      <c r="G12" s="32">
        <v>40839.699999999997</v>
      </c>
      <c r="H12" s="33">
        <f t="shared" si="3"/>
        <v>204198.5</v>
      </c>
      <c r="I12" s="3"/>
      <c r="J12" s="14" t="e">
        <v>#VALUE!</v>
      </c>
      <c r="L12" s="27">
        <f t="shared" si="2"/>
        <v>204198.5</v>
      </c>
      <c r="AA12" s="3" t="s">
        <v>1</v>
      </c>
    </row>
    <row r="13" spans="1:27" s="6" customFormat="1" ht="19.5" customHeight="1" x14ac:dyDescent="0.2">
      <c r="B13" s="7"/>
      <c r="C13" s="28">
        <v>5</v>
      </c>
      <c r="D13" s="29" t="s">
        <v>14</v>
      </c>
      <c r="E13" s="30" t="s">
        <v>9</v>
      </c>
      <c r="F13" s="34">
        <v>1</v>
      </c>
      <c r="G13" s="32">
        <v>74337.100000000006</v>
      </c>
      <c r="H13" s="33">
        <f t="shared" si="3"/>
        <v>74337.100000000006</v>
      </c>
      <c r="I13" s="3"/>
      <c r="J13" s="14" t="e">
        <v>#VALUE!</v>
      </c>
      <c r="L13" s="27">
        <f t="shared" si="2"/>
        <v>74337.100000000006</v>
      </c>
      <c r="AA13" s="3" t="s">
        <v>1</v>
      </c>
    </row>
    <row r="14" spans="1:27" s="6" customFormat="1" ht="19.5" customHeight="1" x14ac:dyDescent="0.2">
      <c r="B14" s="7"/>
      <c r="C14" s="28">
        <v>6</v>
      </c>
      <c r="D14" s="29" t="s">
        <v>52</v>
      </c>
      <c r="E14" s="30" t="s">
        <v>9</v>
      </c>
      <c r="F14" s="34">
        <v>1</v>
      </c>
      <c r="G14" s="32">
        <v>242988.59496000002</v>
      </c>
      <c r="H14" s="33">
        <f t="shared" si="3"/>
        <v>242988.59496000002</v>
      </c>
      <c r="I14" s="3"/>
      <c r="J14" s="14" t="e">
        <v>#VALUE!</v>
      </c>
      <c r="L14" s="27">
        <f t="shared" si="2"/>
        <v>242988.59496000002</v>
      </c>
      <c r="AA14" s="3" t="s">
        <v>1</v>
      </c>
    </row>
    <row r="15" spans="1:27" s="6" customFormat="1" ht="28.5" customHeight="1" x14ac:dyDescent="0.2">
      <c r="B15" s="7"/>
      <c r="C15" s="28">
        <v>7</v>
      </c>
      <c r="D15" s="29" t="s">
        <v>21</v>
      </c>
      <c r="E15" s="30" t="s">
        <v>18</v>
      </c>
      <c r="F15" s="34">
        <f>[3]PQ!$Q$41</f>
        <v>5</v>
      </c>
      <c r="G15" s="32">
        <v>25243.93722429312</v>
      </c>
      <c r="H15" s="33">
        <f t="shared" si="3"/>
        <v>126219.68612146561</v>
      </c>
      <c r="I15" s="3"/>
      <c r="J15" s="14" t="e">
        <v>#VALUE!</v>
      </c>
      <c r="L15" s="27">
        <f t="shared" si="2"/>
        <v>126219.68612146561</v>
      </c>
      <c r="AA15" s="3" t="s">
        <v>1</v>
      </c>
    </row>
    <row r="16" spans="1:27" s="6" customFormat="1" ht="28.5" customHeight="1" x14ac:dyDescent="0.2">
      <c r="B16" s="7"/>
      <c r="C16" s="28">
        <v>8</v>
      </c>
      <c r="D16" s="29" t="s">
        <v>22</v>
      </c>
      <c r="E16" s="30" t="s">
        <v>18</v>
      </c>
      <c r="F16" s="34">
        <f>[3]PQ!$Q$43</f>
        <v>1</v>
      </c>
      <c r="G16" s="32">
        <v>26935.785814801282</v>
      </c>
      <c r="H16" s="33">
        <f t="shared" si="3"/>
        <v>26935.785814801282</v>
      </c>
      <c r="I16" s="3"/>
      <c r="J16" s="14" t="e">
        <v>#VALUE!</v>
      </c>
      <c r="L16" s="27">
        <f t="shared" si="2"/>
        <v>26935.785814801282</v>
      </c>
      <c r="AA16" s="3" t="s">
        <v>1</v>
      </c>
    </row>
    <row r="17" spans="2:27" s="6" customFormat="1" ht="26.25" customHeight="1" x14ac:dyDescent="0.2">
      <c r="B17" s="7"/>
      <c r="C17" s="28">
        <v>9</v>
      </c>
      <c r="D17" s="29" t="s">
        <v>23</v>
      </c>
      <c r="E17" s="30" t="s">
        <v>18</v>
      </c>
      <c r="F17" s="34">
        <f>[3]PQ!$Q$44</f>
        <v>1</v>
      </c>
      <c r="G17" s="32">
        <v>50044.423784358078</v>
      </c>
      <c r="H17" s="33">
        <f t="shared" si="3"/>
        <v>50044.423784358078</v>
      </c>
      <c r="I17" s="3"/>
      <c r="J17" s="14" t="e">
        <v>#VALUE!</v>
      </c>
      <c r="L17" s="27">
        <f t="shared" si="2"/>
        <v>50044.423784358078</v>
      </c>
      <c r="AA17" s="3" t="s">
        <v>1</v>
      </c>
    </row>
    <row r="18" spans="2:27" s="6" customFormat="1" ht="25.5" x14ac:dyDescent="0.2">
      <c r="B18" s="7"/>
      <c r="C18" s="28">
        <v>10</v>
      </c>
      <c r="D18" s="29" t="s">
        <v>25</v>
      </c>
      <c r="E18" s="30" t="s">
        <v>19</v>
      </c>
      <c r="F18" s="34">
        <v>2</v>
      </c>
      <c r="G18" s="32">
        <v>27138.219965419841</v>
      </c>
      <c r="H18" s="33">
        <f t="shared" si="3"/>
        <v>54276.439930839682</v>
      </c>
      <c r="I18" s="3"/>
      <c r="J18" s="14" t="e">
        <v>#VALUE!</v>
      </c>
      <c r="L18" s="27">
        <f t="shared" si="2"/>
        <v>54276.439930839682</v>
      </c>
      <c r="AA18" s="3" t="s">
        <v>1</v>
      </c>
    </row>
    <row r="19" spans="2:27" s="6" customFormat="1" ht="25.5" x14ac:dyDescent="0.2">
      <c r="B19" s="7"/>
      <c r="C19" s="28">
        <v>11</v>
      </c>
      <c r="D19" s="29" t="s">
        <v>26</v>
      </c>
      <c r="E19" s="30" t="s">
        <v>19</v>
      </c>
      <c r="F19" s="34">
        <f>[3]PQ!$Q$50</f>
        <v>1</v>
      </c>
      <c r="G19" s="32">
        <v>68404.529329172801</v>
      </c>
      <c r="H19" s="33">
        <f t="shared" si="3"/>
        <v>68404.529329172801</v>
      </c>
      <c r="I19" s="3"/>
      <c r="J19" s="14" t="e">
        <v>#VALUE!</v>
      </c>
      <c r="L19" s="27">
        <f t="shared" si="2"/>
        <v>68404.529329172801</v>
      </c>
      <c r="AA19" s="3" t="s">
        <v>1</v>
      </c>
    </row>
    <row r="20" spans="2:27" s="6" customFormat="1" ht="19.5" customHeight="1" x14ac:dyDescent="0.2">
      <c r="B20" s="7"/>
      <c r="C20" s="28">
        <v>12</v>
      </c>
      <c r="D20" s="29" t="s">
        <v>27</v>
      </c>
      <c r="E20" s="30" t="s">
        <v>19</v>
      </c>
      <c r="F20" s="34">
        <f>[3]PQ!$Q$51</f>
        <v>1</v>
      </c>
      <c r="G20" s="32">
        <v>2906.9324282617599</v>
      </c>
      <c r="H20" s="33">
        <f t="shared" si="3"/>
        <v>2906.9324282617599</v>
      </c>
      <c r="I20" s="3"/>
      <c r="J20" s="14" t="e">
        <v>#VALUE!</v>
      </c>
      <c r="L20" s="27">
        <f t="shared" si="2"/>
        <v>2906.9324282617599</v>
      </c>
      <c r="AA20" s="3" t="s">
        <v>1</v>
      </c>
    </row>
    <row r="21" spans="2:27" s="6" customFormat="1" ht="27.75" customHeight="1" x14ac:dyDescent="0.2">
      <c r="B21" s="7"/>
      <c r="C21" s="28">
        <v>13</v>
      </c>
      <c r="D21" s="29" t="s">
        <v>28</v>
      </c>
      <c r="E21" s="30" t="s">
        <v>19</v>
      </c>
      <c r="F21" s="34">
        <f>[3]PQ!$Q$52</f>
        <v>2</v>
      </c>
      <c r="G21" s="32">
        <v>2611.7400226976001</v>
      </c>
      <c r="H21" s="33">
        <f t="shared" si="3"/>
        <v>5223.4800453952002</v>
      </c>
      <c r="I21" s="3"/>
      <c r="J21" s="14" t="e">
        <v>#VALUE!</v>
      </c>
      <c r="L21" s="27">
        <f t="shared" si="2"/>
        <v>5223.4800453952002</v>
      </c>
      <c r="AA21" s="3" t="s">
        <v>1</v>
      </c>
    </row>
    <row r="22" spans="2:27" s="6" customFormat="1" ht="26.25" customHeight="1" x14ac:dyDescent="0.2">
      <c r="B22" s="7"/>
      <c r="C22" s="28">
        <v>14</v>
      </c>
      <c r="D22" s="29" t="s">
        <v>29</v>
      </c>
      <c r="E22" s="30" t="s">
        <v>19</v>
      </c>
      <c r="F22" s="34">
        <f>[3]PQ!$Q$53</f>
        <v>2</v>
      </c>
      <c r="G22" s="32">
        <v>423.01144966080005</v>
      </c>
      <c r="H22" s="33">
        <f t="shared" si="3"/>
        <v>846.02289932160011</v>
      </c>
      <c r="I22" s="3"/>
      <c r="J22" s="14" t="e">
        <v>#VALUE!</v>
      </c>
      <c r="L22" s="27">
        <f t="shared" si="2"/>
        <v>846.02289932160011</v>
      </c>
      <c r="AA22" s="3" t="s">
        <v>1</v>
      </c>
    </row>
    <row r="23" spans="2:27" s="6" customFormat="1" ht="25.5" x14ac:dyDescent="0.2">
      <c r="B23" s="7"/>
      <c r="C23" s="28">
        <v>15</v>
      </c>
      <c r="D23" s="29" t="s">
        <v>30</v>
      </c>
      <c r="E23" s="30" t="s">
        <v>19</v>
      </c>
      <c r="F23" s="34">
        <f>[3]PQ!$Q$54</f>
        <v>32</v>
      </c>
      <c r="G23" s="32">
        <v>251.91930621824002</v>
      </c>
      <c r="H23" s="33">
        <f t="shared" si="3"/>
        <v>8061.4177989836808</v>
      </c>
      <c r="I23" s="3"/>
      <c r="J23" s="14" t="e">
        <v>#VALUE!</v>
      </c>
      <c r="L23" s="27">
        <f t="shared" si="2"/>
        <v>8061.4177989836808</v>
      </c>
      <c r="AA23" s="3" t="s">
        <v>1</v>
      </c>
    </row>
    <row r="24" spans="2:27" s="6" customFormat="1" x14ac:dyDescent="0.2">
      <c r="B24" s="7"/>
      <c r="C24" s="28">
        <v>16</v>
      </c>
      <c r="D24" s="29" t="s">
        <v>31</v>
      </c>
      <c r="E24" s="30" t="s">
        <v>19</v>
      </c>
      <c r="F24" s="34">
        <f>[3]PQ!$Q$55</f>
        <v>32</v>
      </c>
      <c r="G24" s="32">
        <v>192.93998754592002</v>
      </c>
      <c r="H24" s="33">
        <f t="shared" si="3"/>
        <v>6174.0796014694406</v>
      </c>
      <c r="I24" s="3"/>
      <c r="J24" s="14" t="e">
        <v>#VALUE!</v>
      </c>
      <c r="L24" s="27">
        <f t="shared" si="2"/>
        <v>6174.0796014694406</v>
      </c>
      <c r="AA24" s="3" t="s">
        <v>1</v>
      </c>
    </row>
    <row r="25" spans="2:27" s="6" customFormat="1" ht="19.5" customHeight="1" x14ac:dyDescent="0.2">
      <c r="B25" s="7"/>
      <c r="C25" s="28">
        <v>17</v>
      </c>
      <c r="D25" s="29" t="s">
        <v>32</v>
      </c>
      <c r="E25" s="30" t="s">
        <v>19</v>
      </c>
      <c r="F25" s="34">
        <f>[3]PQ!$Q$56</f>
        <v>48</v>
      </c>
      <c r="G25" s="32">
        <v>194.16549524224001</v>
      </c>
      <c r="H25" s="33">
        <f t="shared" si="3"/>
        <v>9319.9437716275206</v>
      </c>
      <c r="I25" s="3"/>
      <c r="J25" s="14" t="e">
        <v>#VALUE!</v>
      </c>
      <c r="L25" s="27">
        <f t="shared" si="2"/>
        <v>9319.9437716275206</v>
      </c>
      <c r="AA25" s="3" t="s">
        <v>1</v>
      </c>
    </row>
    <row r="26" spans="2:27" s="6" customFormat="1" ht="24.75" customHeight="1" x14ac:dyDescent="0.2">
      <c r="B26" s="7"/>
      <c r="C26" s="28">
        <v>18</v>
      </c>
      <c r="D26" s="29" t="s">
        <v>33</v>
      </c>
      <c r="E26" s="30" t="s">
        <v>19</v>
      </c>
      <c r="F26" s="34">
        <f>[3]PQ!$Q$57</f>
        <v>2</v>
      </c>
      <c r="G26" s="32">
        <v>326.53441274016001</v>
      </c>
      <c r="H26" s="33">
        <f t="shared" si="3"/>
        <v>653.06882548032002</v>
      </c>
      <c r="I26" s="3"/>
      <c r="J26" s="14" t="e">
        <v>#VALUE!</v>
      </c>
      <c r="L26" s="27">
        <f t="shared" si="2"/>
        <v>653.06882548032002</v>
      </c>
      <c r="AA26" s="3" t="s">
        <v>1</v>
      </c>
    </row>
    <row r="27" spans="2:27" s="6" customFormat="1" ht="31.5" customHeight="1" x14ac:dyDescent="0.2">
      <c r="B27" s="7"/>
      <c r="C27" s="28">
        <v>19</v>
      </c>
      <c r="D27" s="29" t="s">
        <v>34</v>
      </c>
      <c r="E27" s="30" t="s">
        <v>19</v>
      </c>
      <c r="F27" s="34">
        <f>[3]PQ!$Q$58</f>
        <v>16</v>
      </c>
      <c r="G27" s="32">
        <v>458.43848249120003</v>
      </c>
      <c r="H27" s="33">
        <f t="shared" si="3"/>
        <v>7335.0157198592005</v>
      </c>
      <c r="I27" s="3"/>
      <c r="J27" s="14" t="e">
        <v>#VALUE!</v>
      </c>
      <c r="L27" s="27">
        <f t="shared" si="2"/>
        <v>7335.0157198592005</v>
      </c>
      <c r="AA27" s="3" t="s">
        <v>1</v>
      </c>
    </row>
    <row r="28" spans="2:27" s="6" customFormat="1" ht="26.25" customHeight="1" x14ac:dyDescent="0.2">
      <c r="B28" s="7"/>
      <c r="C28" s="28">
        <v>20</v>
      </c>
      <c r="D28" s="29" t="s">
        <v>35</v>
      </c>
      <c r="E28" s="30" t="s">
        <v>19</v>
      </c>
      <c r="F28" s="34">
        <f>[3]PQ!$Q$59</f>
        <v>16</v>
      </c>
      <c r="G28" s="32">
        <v>224.90179171776001</v>
      </c>
      <c r="H28" s="33">
        <f t="shared" si="3"/>
        <v>3598.4286674841601</v>
      </c>
      <c r="I28" s="3"/>
      <c r="J28" s="14" t="e">
        <v>#VALUE!</v>
      </c>
      <c r="L28" s="27">
        <f t="shared" si="2"/>
        <v>3598.4286674841601</v>
      </c>
      <c r="AA28" s="3" t="s">
        <v>1</v>
      </c>
    </row>
    <row r="29" spans="2:27" s="57" customFormat="1" ht="54.75" customHeight="1" x14ac:dyDescent="0.2">
      <c r="B29" s="58"/>
      <c r="C29" s="28">
        <v>21</v>
      </c>
      <c r="D29" s="56" t="s">
        <v>24</v>
      </c>
      <c r="E29" s="30" t="s">
        <v>18</v>
      </c>
      <c r="F29" s="34">
        <v>1</v>
      </c>
      <c r="G29" s="32">
        <v>487456.71578054695</v>
      </c>
      <c r="H29" s="33">
        <f t="shared" si="3"/>
        <v>487456.71578054695</v>
      </c>
      <c r="I29" s="59"/>
      <c r="L29" s="60"/>
      <c r="AA29" s="59"/>
    </row>
    <row r="30" spans="2:27" s="6" customFormat="1" ht="17.25" customHeight="1" x14ac:dyDescent="0.2">
      <c r="B30" s="7"/>
      <c r="C30" s="28">
        <v>22</v>
      </c>
      <c r="D30" s="29" t="s">
        <v>36</v>
      </c>
      <c r="E30" s="48" t="str">
        <f>[3]PQ!$K$67</f>
        <v>un.</v>
      </c>
      <c r="F30" s="34">
        <f>[3]PQ!$Q$67</f>
        <v>12</v>
      </c>
      <c r="G30" s="32">
        <v>70185.642773377287</v>
      </c>
      <c r="H30" s="33">
        <f t="shared" si="3"/>
        <v>842227.71328052739</v>
      </c>
      <c r="I30" s="3"/>
      <c r="J30" s="14" t="e">
        <v>#VALUE!</v>
      </c>
      <c r="L30" s="27">
        <f t="shared" si="2"/>
        <v>842227.71328052739</v>
      </c>
      <c r="AA30" s="3" t="s">
        <v>1</v>
      </c>
    </row>
    <row r="31" spans="2:27" s="6" customFormat="1" ht="42" customHeight="1" x14ac:dyDescent="0.2">
      <c r="B31" s="7"/>
      <c r="C31" s="28">
        <v>23</v>
      </c>
      <c r="D31" s="29" t="s">
        <v>38</v>
      </c>
      <c r="E31" s="50" t="s">
        <v>19</v>
      </c>
      <c r="F31" s="51">
        <v>37</v>
      </c>
      <c r="G31" s="32">
        <v>49342.785412476485</v>
      </c>
      <c r="H31" s="33">
        <f t="shared" si="3"/>
        <v>1825683.06026163</v>
      </c>
      <c r="I31" s="3"/>
      <c r="J31" s="14" t="e">
        <v>#VALUE!</v>
      </c>
      <c r="L31" s="27">
        <f t="shared" si="2"/>
        <v>1825683.06026163</v>
      </c>
      <c r="AA31" s="3" t="s">
        <v>1</v>
      </c>
    </row>
    <row r="32" spans="2:27" s="6" customFormat="1" ht="30" customHeight="1" x14ac:dyDescent="0.2">
      <c r="B32" s="7"/>
      <c r="C32" s="28">
        <v>24</v>
      </c>
      <c r="D32" s="29" t="s">
        <v>37</v>
      </c>
      <c r="E32" s="50" t="s">
        <v>9</v>
      </c>
      <c r="F32" s="51">
        <v>1</v>
      </c>
      <c r="G32" s="32">
        <v>15328.086813756159</v>
      </c>
      <c r="H32" s="33">
        <f t="shared" si="3"/>
        <v>15328.086813756159</v>
      </c>
      <c r="I32" s="3"/>
      <c r="J32" s="14" t="e">
        <v>#VALUE!</v>
      </c>
      <c r="L32" s="27">
        <f t="shared" si="2"/>
        <v>15328.086813756159</v>
      </c>
      <c r="AA32" s="3" t="s">
        <v>1</v>
      </c>
    </row>
    <row r="33" spans="2:27" s="6" customFormat="1" ht="25.5" customHeight="1" x14ac:dyDescent="0.2">
      <c r="B33" s="7"/>
      <c r="C33" s="28">
        <v>25</v>
      </c>
      <c r="D33" s="49" t="s">
        <v>39</v>
      </c>
      <c r="E33" s="50" t="s">
        <v>19</v>
      </c>
      <c r="F33" s="51">
        <v>12</v>
      </c>
      <c r="G33" s="32">
        <v>13677.877312332161</v>
      </c>
      <c r="H33" s="33">
        <f t="shared" si="3"/>
        <v>164134.52774798594</v>
      </c>
      <c r="I33" s="3"/>
      <c r="J33" s="14" t="e">
        <v>#VALUE!</v>
      </c>
      <c r="L33" s="27">
        <f t="shared" si="2"/>
        <v>164134.52774798594</v>
      </c>
      <c r="AA33" s="3" t="s">
        <v>1</v>
      </c>
    </row>
    <row r="34" spans="2:27" s="6" customFormat="1" ht="25.5" x14ac:dyDescent="0.2">
      <c r="B34" s="7"/>
      <c r="C34" s="28">
        <v>26</v>
      </c>
      <c r="D34" s="49" t="s">
        <v>40</v>
      </c>
      <c r="E34" s="52" t="s">
        <v>20</v>
      </c>
      <c r="F34" s="51">
        <v>480</v>
      </c>
      <c r="G34" s="32">
        <v>522.601557856</v>
      </c>
      <c r="H34" s="33">
        <f t="shared" si="3"/>
        <v>250848.74777088</v>
      </c>
      <c r="I34" s="3"/>
      <c r="J34" s="14" t="e">
        <v>#VALUE!</v>
      </c>
      <c r="L34" s="27">
        <f t="shared" si="2"/>
        <v>250848.74777088</v>
      </c>
      <c r="AA34" s="3" t="s">
        <v>1</v>
      </c>
    </row>
    <row r="35" spans="2:27" s="6" customFormat="1" ht="25.5" x14ac:dyDescent="0.2">
      <c r="B35" s="7"/>
      <c r="C35" s="28">
        <v>27</v>
      </c>
      <c r="D35" s="49" t="s">
        <v>41</v>
      </c>
      <c r="E35" s="52" t="s">
        <v>20</v>
      </c>
      <c r="F35" s="51">
        <v>78</v>
      </c>
      <c r="G35" s="32">
        <v>605.76704566144008</v>
      </c>
      <c r="H35" s="33">
        <f t="shared" si="3"/>
        <v>47249.829561592327</v>
      </c>
      <c r="I35" s="3"/>
      <c r="J35" s="14" t="e">
        <v>#VALUE!</v>
      </c>
      <c r="L35" s="27">
        <f t="shared" si="2"/>
        <v>47249.829561592327</v>
      </c>
      <c r="AA35" s="3" t="s">
        <v>1</v>
      </c>
    </row>
    <row r="36" spans="2:27" s="6" customFormat="1" ht="25.5" x14ac:dyDescent="0.2">
      <c r="B36" s="7"/>
      <c r="C36" s="28">
        <v>28</v>
      </c>
      <c r="D36" s="49" t="s">
        <v>42</v>
      </c>
      <c r="E36" s="52" t="s">
        <v>20</v>
      </c>
      <c r="F36" s="51">
        <v>81</v>
      </c>
      <c r="G36" s="32">
        <v>684.62212708671996</v>
      </c>
      <c r="H36" s="33">
        <f t="shared" si="3"/>
        <v>55454.392294024314</v>
      </c>
      <c r="I36" s="3"/>
      <c r="J36" s="14" t="e">
        <v>#VALUE!</v>
      </c>
      <c r="L36" s="27">
        <f t="shared" si="2"/>
        <v>55454.392294024314</v>
      </c>
      <c r="AA36" s="3" t="s">
        <v>1</v>
      </c>
    </row>
    <row r="37" spans="2:27" s="6" customFormat="1" ht="25.5" x14ac:dyDescent="0.2">
      <c r="B37" s="7"/>
      <c r="C37" s="28">
        <v>29</v>
      </c>
      <c r="D37" s="53" t="s">
        <v>43</v>
      </c>
      <c r="E37" s="52" t="s">
        <v>20</v>
      </c>
      <c r="F37" s="54">
        <v>1650</v>
      </c>
      <c r="G37" s="32">
        <v>93.786554506880009</v>
      </c>
      <c r="H37" s="33">
        <f t="shared" si="3"/>
        <v>154747.81493635202</v>
      </c>
      <c r="I37" s="3"/>
      <c r="J37" s="14" t="e">
        <v>#VALUE!</v>
      </c>
      <c r="L37" s="27">
        <f t="shared" si="2"/>
        <v>154747.81493635202</v>
      </c>
      <c r="AA37" s="3" t="s">
        <v>1</v>
      </c>
    </row>
    <row r="38" spans="2:27" s="6" customFormat="1" ht="25.5" x14ac:dyDescent="0.2">
      <c r="B38" s="7"/>
      <c r="C38" s="28">
        <v>30</v>
      </c>
      <c r="D38" s="53" t="s">
        <v>44</v>
      </c>
      <c r="E38" s="52" t="s">
        <v>20</v>
      </c>
      <c r="F38" s="54">
        <v>330</v>
      </c>
      <c r="G38" s="32">
        <v>148.21599977792002</v>
      </c>
      <c r="H38" s="33">
        <f t="shared" si="3"/>
        <v>48911.279926713607</v>
      </c>
      <c r="I38" s="3"/>
      <c r="J38" s="14" t="e">
        <v>#VALUE!</v>
      </c>
      <c r="L38" s="27">
        <f t="shared" si="2"/>
        <v>48911.279926713607</v>
      </c>
      <c r="AA38" s="3" t="s">
        <v>1</v>
      </c>
    </row>
    <row r="39" spans="2:27" s="6" customFormat="1" ht="27.75" customHeight="1" x14ac:dyDescent="0.2">
      <c r="B39" s="7"/>
      <c r="C39" s="28">
        <v>31</v>
      </c>
      <c r="D39" s="53" t="s">
        <v>45</v>
      </c>
      <c r="E39" s="52" t="s">
        <v>20</v>
      </c>
      <c r="F39" s="54">
        <v>100</v>
      </c>
      <c r="G39" s="32">
        <v>186.24899724992</v>
      </c>
      <c r="H39" s="33">
        <f t="shared" si="3"/>
        <v>18624.899724991999</v>
      </c>
      <c r="I39" s="3"/>
      <c r="J39" s="14" t="e">
        <v>#VALUE!</v>
      </c>
      <c r="L39" s="27">
        <f t="shared" si="2"/>
        <v>18624.899724991999</v>
      </c>
      <c r="AA39" s="3" t="s">
        <v>1</v>
      </c>
    </row>
    <row r="40" spans="2:27" s="6" customFormat="1" ht="40.5" customHeight="1" x14ac:dyDescent="0.2">
      <c r="B40" s="7"/>
      <c r="C40" s="28">
        <v>32</v>
      </c>
      <c r="D40" s="53" t="s">
        <v>46</v>
      </c>
      <c r="E40" s="52" t="s">
        <v>20</v>
      </c>
      <c r="F40" s="54">
        <v>1050</v>
      </c>
      <c r="G40" s="32">
        <v>85.560158016640003</v>
      </c>
      <c r="H40" s="33">
        <f t="shared" si="3"/>
        <v>89838.165917471997</v>
      </c>
      <c r="I40" s="3"/>
      <c r="J40" s="14" t="e">
        <v>#VALUE!</v>
      </c>
      <c r="L40" s="27">
        <f t="shared" si="2"/>
        <v>89838.165917471997</v>
      </c>
      <c r="AA40" s="3" t="s">
        <v>1</v>
      </c>
    </row>
    <row r="41" spans="2:27" s="6" customFormat="1" ht="25.5" x14ac:dyDescent="0.2">
      <c r="B41" s="7"/>
      <c r="C41" s="28">
        <v>33</v>
      </c>
      <c r="D41" s="53" t="s">
        <v>47</v>
      </c>
      <c r="E41" s="52" t="s">
        <v>20</v>
      </c>
      <c r="F41" s="54">
        <v>550</v>
      </c>
      <c r="G41" s="32">
        <v>230.53630986176</v>
      </c>
      <c r="H41" s="33">
        <f t="shared" si="3"/>
        <v>126794.970423968</v>
      </c>
      <c r="I41" s="3"/>
      <c r="J41" s="14" t="e">
        <v>#VALUE!</v>
      </c>
      <c r="L41" s="27">
        <f t="shared" si="2"/>
        <v>126794.970423968</v>
      </c>
      <c r="AA41" s="3" t="s">
        <v>1</v>
      </c>
    </row>
    <row r="42" spans="2:27" s="6" customFormat="1" ht="38.25" x14ac:dyDescent="0.2">
      <c r="B42" s="7"/>
      <c r="C42" s="28">
        <v>34</v>
      </c>
      <c r="D42" s="53" t="s">
        <v>48</v>
      </c>
      <c r="E42" s="52" t="s">
        <v>20</v>
      </c>
      <c r="F42" s="54">
        <v>1050</v>
      </c>
      <c r="G42" s="32">
        <v>165.40128011712002</v>
      </c>
      <c r="H42" s="33">
        <f t="shared" si="3"/>
        <v>173671.34412297604</v>
      </c>
      <c r="I42" s="3"/>
      <c r="J42" s="14" t="e">
        <v>#VALUE!</v>
      </c>
      <c r="L42" s="27">
        <f t="shared" si="2"/>
        <v>173671.34412297604</v>
      </c>
      <c r="AA42" s="3" t="s">
        <v>1</v>
      </c>
    </row>
    <row r="43" spans="2:27" s="6" customFormat="1" ht="38.25" x14ac:dyDescent="0.2">
      <c r="B43" s="7"/>
      <c r="C43" s="28">
        <v>35</v>
      </c>
      <c r="D43" s="53" t="s">
        <v>49</v>
      </c>
      <c r="E43" s="55" t="s">
        <v>20</v>
      </c>
      <c r="F43" s="54">
        <v>50</v>
      </c>
      <c r="G43" s="32">
        <v>118.01498252608</v>
      </c>
      <c r="H43" s="33">
        <f t="shared" si="3"/>
        <v>5900.7491263040001</v>
      </c>
      <c r="I43" s="3"/>
      <c r="J43" s="14" t="e">
        <v>#VALUE!</v>
      </c>
      <c r="L43" s="27">
        <f t="shared" si="2"/>
        <v>5900.7491263040001</v>
      </c>
      <c r="AA43" s="3" t="s">
        <v>1</v>
      </c>
    </row>
    <row r="44" spans="2:27" s="6" customFormat="1" ht="27.75" customHeight="1" x14ac:dyDescent="0.2">
      <c r="B44" s="7"/>
      <c r="C44" s="62">
        <v>36</v>
      </c>
      <c r="D44" s="63" t="s">
        <v>50</v>
      </c>
      <c r="E44" s="64" t="str">
        <f>[3]PQ!$K$156</f>
        <v>cj</v>
      </c>
      <c r="F44" s="65">
        <v>1</v>
      </c>
      <c r="G44" s="66">
        <v>9476.4002541910413</v>
      </c>
      <c r="H44" s="67">
        <f t="shared" si="3"/>
        <v>9476.4002541910413</v>
      </c>
      <c r="I44" s="3"/>
      <c r="J44" s="14" t="e">
        <v>#VALUE!</v>
      </c>
      <c r="L44" s="27">
        <f t="shared" si="2"/>
        <v>9476.4002541910413</v>
      </c>
      <c r="AA44" s="3" t="s">
        <v>1</v>
      </c>
    </row>
    <row r="45" spans="2:27" s="6" customFormat="1" ht="36.75" customHeight="1" x14ac:dyDescent="0.2">
      <c r="B45" s="7"/>
      <c r="C45" s="62">
        <v>37</v>
      </c>
      <c r="D45" s="63" t="s">
        <v>51</v>
      </c>
      <c r="E45" s="64" t="str">
        <f>[3]PQ!$K$157</f>
        <v>cj</v>
      </c>
      <c r="F45" s="65">
        <f>[3]PQ!$Q$157</f>
        <v>1</v>
      </c>
      <c r="G45" s="66">
        <v>30407.22652961504</v>
      </c>
      <c r="H45" s="67">
        <f t="shared" si="3"/>
        <v>30407.22652961504</v>
      </c>
      <c r="I45" s="3"/>
      <c r="J45" s="14" t="e">
        <v>#VALUE!</v>
      </c>
      <c r="L45" s="27">
        <f t="shared" si="2"/>
        <v>30407.22652961504</v>
      </c>
      <c r="AA45" s="3" t="s">
        <v>1</v>
      </c>
    </row>
    <row r="46" spans="2:27" s="6" customFormat="1" ht="36.75" customHeight="1" x14ac:dyDescent="0.2">
      <c r="B46" s="7"/>
      <c r="C46" s="28">
        <v>38</v>
      </c>
      <c r="D46" s="29" t="s">
        <v>54</v>
      </c>
      <c r="E46" s="30" t="s">
        <v>9</v>
      </c>
      <c r="F46" s="34">
        <v>1</v>
      </c>
      <c r="G46" s="32">
        <v>123050.01611214913</v>
      </c>
      <c r="H46" s="33">
        <f t="shared" si="3"/>
        <v>123050.01611214913</v>
      </c>
      <c r="I46" s="3"/>
      <c r="J46" s="14"/>
      <c r="L46" s="27"/>
      <c r="AA46" s="3"/>
    </row>
    <row r="47" spans="2:27" s="6" customFormat="1" ht="27.75" customHeight="1" x14ac:dyDescent="0.2">
      <c r="B47" s="7"/>
      <c r="C47" s="28">
        <v>39</v>
      </c>
      <c r="D47" s="29" t="s">
        <v>53</v>
      </c>
      <c r="E47" s="30" t="s">
        <v>9</v>
      </c>
      <c r="F47" s="34">
        <v>1</v>
      </c>
      <c r="G47" s="32">
        <v>42789.981673958078</v>
      </c>
      <c r="H47" s="33">
        <f t="shared" ref="H47" si="4">F47*G47</f>
        <v>42789.981673958078</v>
      </c>
      <c r="I47" s="3"/>
      <c r="J47" s="14" t="e">
        <v>#VALUE!</v>
      </c>
      <c r="L47" s="27">
        <f t="shared" ref="L47" si="5">H47</f>
        <v>42789.981673958078</v>
      </c>
      <c r="AA47" s="3" t="s">
        <v>1</v>
      </c>
    </row>
    <row r="48" spans="2:27" s="6" customFormat="1" x14ac:dyDescent="0.2">
      <c r="B48" s="7"/>
      <c r="C48" s="28">
        <v>40</v>
      </c>
      <c r="D48" s="29" t="s">
        <v>55</v>
      </c>
      <c r="E48" s="30" t="s">
        <v>9</v>
      </c>
      <c r="F48" s="34">
        <v>1</v>
      </c>
      <c r="G48" s="32">
        <v>264174.97480584512</v>
      </c>
      <c r="H48" s="33">
        <f t="shared" si="3"/>
        <v>264174.97480584512</v>
      </c>
      <c r="I48" s="3"/>
      <c r="J48" s="14" t="e">
        <v>#VALUE!</v>
      </c>
      <c r="L48" s="27">
        <f t="shared" si="2"/>
        <v>264174.97480584512</v>
      </c>
      <c r="AA48" s="3" t="s">
        <v>1</v>
      </c>
    </row>
    <row r="49" spans="1:27" s="6" customFormat="1" x14ac:dyDescent="0.2">
      <c r="B49" s="7"/>
      <c r="C49" s="28">
        <v>41</v>
      </c>
      <c r="D49" s="29" t="s">
        <v>56</v>
      </c>
      <c r="E49" s="30" t="s">
        <v>9</v>
      </c>
      <c r="F49" s="34">
        <v>1</v>
      </c>
      <c r="G49" s="32">
        <v>63482.172019688325</v>
      </c>
      <c r="H49" s="33">
        <f t="shared" si="3"/>
        <v>63482.172019688325</v>
      </c>
      <c r="I49" s="3"/>
      <c r="J49" s="14" t="e">
        <v>#VALUE!</v>
      </c>
      <c r="L49" s="27">
        <f t="shared" si="2"/>
        <v>63482.172019688325</v>
      </c>
      <c r="AA49" s="3" t="s">
        <v>1</v>
      </c>
    </row>
    <row r="50" spans="1:27" ht="20.25" customHeight="1" x14ac:dyDescent="0.2">
      <c r="A50" s="1" t="s">
        <v>15</v>
      </c>
      <c r="B50" s="1" t="s">
        <v>15</v>
      </c>
      <c r="C50" s="1" t="s">
        <v>15</v>
      </c>
      <c r="D50" s="36"/>
      <c r="E50" s="61"/>
      <c r="F50" s="61"/>
      <c r="G50" s="37"/>
      <c r="H50" s="38">
        <f>SUM(H9:H49)</f>
        <v>6874540.0587836858</v>
      </c>
    </row>
    <row r="51" spans="1:27" x14ac:dyDescent="0.2">
      <c r="E51" s="3" t="e">
        <f>F50/E50</f>
        <v>#DIV/0!</v>
      </c>
      <c r="H51" s="4"/>
    </row>
    <row r="52" spans="1:27" x14ac:dyDescent="0.2">
      <c r="H52" s="4"/>
    </row>
    <row r="53" spans="1:27" x14ac:dyDescent="0.2">
      <c r="C53" s="39" t="s">
        <v>16</v>
      </c>
      <c r="H53" s="4"/>
    </row>
    <row r="54" spans="1:27" ht="16.5" customHeight="1" x14ac:dyDescent="0.2">
      <c r="C54" s="45" t="s">
        <v>57</v>
      </c>
      <c r="D54" s="46"/>
      <c r="E54" s="46"/>
      <c r="F54" s="46"/>
      <c r="G54" s="46"/>
      <c r="H54" s="47"/>
      <c r="Z54" s="40"/>
    </row>
    <row r="55" spans="1:27" x14ac:dyDescent="0.2">
      <c r="C55" s="41"/>
      <c r="D55" s="41"/>
      <c r="E55" s="41"/>
      <c r="F55" s="41"/>
      <c r="G55" s="42"/>
      <c r="H55" s="41"/>
    </row>
    <row r="56" spans="1:27" x14ac:dyDescent="0.2">
      <c r="C56" s="41"/>
      <c r="D56" s="41"/>
      <c r="E56" s="41"/>
      <c r="F56" s="41"/>
      <c r="G56" s="42"/>
      <c r="H56" s="41"/>
    </row>
    <row r="57" spans="1:27" x14ac:dyDescent="0.2">
      <c r="C57" s="41"/>
      <c r="D57" s="41"/>
      <c r="E57" s="41"/>
      <c r="F57" s="41"/>
      <c r="G57" s="42"/>
      <c r="H57" s="41"/>
    </row>
    <row r="58" spans="1:27" x14ac:dyDescent="0.2">
      <c r="C58" s="41"/>
      <c r="D58" s="41"/>
      <c r="E58" s="41"/>
      <c r="F58" s="41"/>
      <c r="G58" s="42"/>
      <c r="H58" s="41"/>
    </row>
    <row r="59" spans="1:27" x14ac:dyDescent="0.2">
      <c r="C59" s="41"/>
      <c r="D59" s="41"/>
      <c r="E59" s="41"/>
      <c r="F59" s="41"/>
      <c r="G59" s="42"/>
      <c r="H59" s="41"/>
    </row>
    <row r="60" spans="1:27" x14ac:dyDescent="0.2">
      <c r="C60" s="41"/>
      <c r="D60" s="41"/>
      <c r="E60" s="41"/>
      <c r="F60" s="41"/>
      <c r="G60" s="42"/>
      <c r="H60" s="41"/>
    </row>
    <row r="61" spans="1:27" x14ac:dyDescent="0.2">
      <c r="C61" s="41"/>
      <c r="D61" s="41"/>
      <c r="E61" s="41"/>
      <c r="F61" s="41"/>
      <c r="G61" s="42"/>
      <c r="H61" s="41"/>
    </row>
  </sheetData>
  <sheetProtection formatColumns="0"/>
  <mergeCells count="2">
    <mergeCell ref="C3:H3"/>
    <mergeCell ref="C54:H54"/>
  </mergeCells>
  <dataValidations disablePrompts="1" count="1">
    <dataValidation type="list" allowBlank="1" showInputMessage="1" showErrorMessage="1" sqref="H7" xr:uid="{4E150B7E-C851-4986-91F9-FBDFCAF2162B}">
      <formula1>Moedas</formula1>
    </dataValidation>
  </dataValidations>
  <printOptions horizontalCentered="1"/>
  <pageMargins left="0.19685039370078741" right="0.19685039370078741" top="0.19685039370078741" bottom="0.39370078740157483" header="0.11811023622047245" footer="0.11811023622047245"/>
  <pageSetup paperSize="9" scale="69" orientation="portrait" r:id="rId1"/>
  <headerFooter alignWithMargins="0"/>
  <colBreaks count="1" manualBreakCount="1">
    <brk id="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3">
              <controlPr defaultSize="0" print="0" autoFill="0" autoPict="0" altText="Adicionar linhas">
                <anchor moveWithCells="1" sizeWithCells="1">
                  <from>
                    <xdr:col>2</xdr:col>
                    <xdr:colOff>9525</xdr:colOff>
                    <xdr:row>4</xdr:row>
                    <xdr:rowOff>47625</xdr:rowOff>
                  </from>
                  <to>
                    <xdr:col>3</xdr:col>
                    <xdr:colOff>1266825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4">
              <controlPr defaultSize="0" print="0" autoFill="0" autoPict="0">
                <anchor moveWithCells="1" sizeWithCells="1">
                  <from>
                    <xdr:col>3</xdr:col>
                    <xdr:colOff>1323975</xdr:colOff>
                    <xdr:row>4</xdr:row>
                    <xdr:rowOff>47625</xdr:rowOff>
                  </from>
                  <to>
                    <xdr:col>4</xdr:col>
                    <xdr:colOff>428625</xdr:colOff>
                    <xdr:row>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91105D4199D949B2BB2F8B83BC862E" ma:contentTypeVersion="13" ma:contentTypeDescription="Crie um novo documento." ma:contentTypeScope="" ma:versionID="cb06a6c13301732a41d97d2b0c66d94a">
  <xsd:schema xmlns:xsd="http://www.w3.org/2001/XMLSchema" xmlns:xs="http://www.w3.org/2001/XMLSchema" xmlns:p="http://schemas.microsoft.com/office/2006/metadata/properties" xmlns:ns1="http://schemas.microsoft.com/sharepoint/v3" xmlns:ns2="e3f387d1-7ffc-4811-a3fc-c7c2d438be11" xmlns:ns3="19cfb98b-34fd-486e-a269-b8c8e011c064" targetNamespace="http://schemas.microsoft.com/office/2006/metadata/properties" ma:root="true" ma:fieldsID="77319352fee6eb3096139c59dfa58d77" ns1:_="" ns2:_="" ns3:_="">
    <xsd:import namespace="http://schemas.microsoft.com/sharepoint/v3"/>
    <xsd:import namespace="e3f387d1-7ffc-4811-a3fc-c7c2d438be11"/>
    <xsd:import namespace="19cfb98b-34fd-486e-a269-b8c8e011c0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387d1-7ffc-4811-a3fc-c7c2d438be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fb98b-34fd-486e-a269-b8c8e011c06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75ed835-88a6-423f-bdd8-277458963461}" ma:internalName="TaxCatchAll" ma:showField="CatchAllData" ma:web="19cfb98b-34fd-486e-a269-b8c8e011c0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9cfb98b-34fd-486e-a269-b8c8e011c064" xsi:nil="true"/>
    <_ip_UnifiedCompliancePolicyProperties xmlns="http://schemas.microsoft.com/sharepoint/v3" xsi:nil="true"/>
    <lcf76f155ced4ddcb4097134ff3c332f xmlns="e3f387d1-7ffc-4811-a3fc-c7c2d438be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85B9A-2FE1-4DE0-AE50-9C904D63F4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AD5C6-02FD-4086-BE17-C94957301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3f387d1-7ffc-4811-a3fc-c7c2d438be11"/>
    <ds:schemaRef ds:uri="19cfb98b-34fd-486e-a269-b8c8e011c0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0D88A0-761F-460E-92C5-F014AA10D1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9cfb98b-34fd-486e-a269-b8c8e011c064"/>
    <ds:schemaRef ds:uri="e3f387d1-7ffc-4811-a3fc-c7c2d438be11"/>
  </ds:schemaRefs>
</ds:datastoreItem>
</file>

<file path=docMetadata/LabelInfo.xml><?xml version="1.0" encoding="utf-8"?>
<clbl:labelList xmlns:clbl="http://schemas.microsoft.com/office/2020/mipLabelMetadata">
  <clbl:label id="{d05f815e-6d54-4235-a450-1761f496af92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QQP_CENÁRIO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BELLOTI</dc:creator>
  <cp:lastModifiedBy>Romulo Faria</cp:lastModifiedBy>
  <dcterms:created xsi:type="dcterms:W3CDTF">2026-04-02T17:32:53Z</dcterms:created>
  <dcterms:modified xsi:type="dcterms:W3CDTF">2026-05-08T12:05:08Z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0x0101008691105D4199D949B2BB2F8B83BC862E</vt:lpwstr>
  </property>
</Properties>
</file>